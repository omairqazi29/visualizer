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F0D0D64E-9D86-4F01-8585-CEA35E94E372}" xr6:coauthVersionLast="47" xr6:coauthVersionMax="47" xr10:uidLastSave="{00000000-0000-0000-0000-000000000000}"/>
  <bookViews>
    <workbookView xWindow="-110" yWindow="-110" windowWidth="25820" windowHeight="13900" tabRatio="864" xr2:uid="{00000000-000D-0000-FFFF-FFFF00000000}"/>
  </bookViews>
  <sheets>
    <sheet name="All Countries FY25" sheetId="122" r:id="rId1"/>
    <sheet name="India FY25" sheetId="107" r:id="rId2"/>
    <sheet name="China FY25" sheetId="108" r:id="rId3"/>
    <sheet name="Philippines FY25" sheetId="109" r:id="rId4"/>
    <sheet name="Brazil FY25" sheetId="110" r:id="rId5"/>
    <sheet name="Vietnam 2025" sheetId="1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3" i="122" l="1"/>
  <c r="AJ23" i="122"/>
  <c r="AK23" i="122"/>
  <c r="AL23" i="122"/>
  <c r="AM23" i="122"/>
  <c r="AN23" i="122"/>
  <c r="AO23" i="122"/>
  <c r="AP23" i="122"/>
  <c r="AQ23" i="122"/>
  <c r="AR23" i="122"/>
  <c r="AS23" i="122"/>
  <c r="AT23" i="122"/>
  <c r="AU23" i="122"/>
  <c r="AV23" i="122"/>
  <c r="AW23" i="122"/>
  <c r="AX23" i="122"/>
  <c r="AY23" i="122"/>
  <c r="AZ23" i="122"/>
  <c r="BA23" i="122"/>
  <c r="BB23" i="122"/>
  <c r="BC23" i="122"/>
  <c r="BD23" i="122"/>
  <c r="BE23" i="122"/>
  <c r="N16" i="122"/>
  <c r="N17" i="122"/>
  <c r="N15" i="122"/>
  <c r="N12" i="122"/>
  <c r="N13" i="122"/>
  <c r="N11" i="122"/>
  <c r="N7" i="122"/>
  <c r="N8" i="122"/>
  <c r="N6" i="122"/>
  <c r="N5" i="122"/>
</calcChain>
</file>

<file path=xl/sharedStrings.xml><?xml version="1.0" encoding="utf-8"?>
<sst xmlns="http://schemas.openxmlformats.org/spreadsheetml/2006/main" count="480" uniqueCount="53">
  <si>
    <t>Number of Form I-140, Immigrant Petition for Alien Worker Petitions Received and Current Status for All Countries</t>
  </si>
  <si>
    <t>By Fiscal Year Received and Current Status</t>
  </si>
  <si>
    <t>Petitions by Employment Preference</t>
  </si>
  <si>
    <t>TOTAL</t>
  </si>
  <si>
    <t>Approved</t>
  </si>
  <si>
    <t>Denied</t>
  </si>
  <si>
    <r>
      <t>Pending, Other</t>
    </r>
    <r>
      <rPr>
        <vertAlign val="superscript"/>
        <sz val="11"/>
        <rFont val="Calibri"/>
        <family val="2"/>
        <scheme val="minor"/>
      </rPr>
      <t>1</t>
    </r>
  </si>
  <si>
    <t>First Preference (EB1)</t>
  </si>
  <si>
    <t>Total Petitions</t>
  </si>
  <si>
    <t>Approvals by Category</t>
  </si>
  <si>
    <t>Aliens with Extraordinary Ability (E11)</t>
  </si>
  <si>
    <t>Outstanding Professors or Researchers (E12)</t>
  </si>
  <si>
    <t>Multinational Executives or Managers (E13)</t>
  </si>
  <si>
    <t>Second Preference (EB2)</t>
  </si>
  <si>
    <r>
      <t>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</si>
  <si>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>Third Preference (EB3)</t>
  </si>
  <si>
    <t>Skilled Workers (E31)</t>
  </si>
  <si>
    <t>Professionals with Baccalaureate Degrees (E32)</t>
  </si>
  <si>
    <r>
      <t>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</si>
  <si>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-</t>
  </si>
  <si>
    <t>Table Key:</t>
  </si>
  <si>
    <t>- Represents zero or rounds to 0.0</t>
  </si>
  <si>
    <t>References:</t>
  </si>
  <si>
    <t>Some actions taken on cases are not reflected in this report such as administrative closures and transfers between offices;  thus the total pending counts cannot be calculated using data from previous reporting periods.</t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</si>
  <si>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Includes National Interest Waiver petitions.</t>
    </r>
  </si>
  <si>
    <t>Notes:</t>
  </si>
  <si>
    <t>1) Petitions received in one reporting period may be approved or denied in subsequent reporting periods.</t>
  </si>
  <si>
    <t>2) This report reflects the most up-to-date estimate available at the time the database is queried.</t>
  </si>
  <si>
    <t>3) Counts may differ from previous periods due to system updates and post-adjudicative outcomes.</t>
  </si>
  <si>
    <t>4) Data is not limited by priority date for approvals.</t>
  </si>
  <si>
    <t xml:space="preserve">6) This report is based on the fiscal year in which the petition was submitted to USCIS, not the fiscal year in which the petition was adjudicated.  A petition may be adjudicated in a later fiscal year than it was filed.  </t>
  </si>
  <si>
    <t xml:space="preserve">   Therefore, this report is different from other reports that are based on the fiscal year in which the petition was adjudicated.</t>
  </si>
  <si>
    <t>8)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</si>
  <si>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</si>
  <si>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</si>
  <si>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Number of Form I-140, Immigrant Petition for Alien Worker Petitions Received and Current Status for India</t>
  </si>
  <si>
    <t>Number of Form I-140, Immigrant Petition for Alien Worker Petitions Received and Current Status for China</t>
  </si>
  <si>
    <t>Number of Form I-140, Immigrant Petition for Alien Worker Petitions Received and Current Status for the Philippines</t>
  </si>
  <si>
    <t>Number of Form I-140, Immigrant Petition for Alien Worker Petitions Received and Current Status for Brazil</t>
  </si>
  <si>
    <r>
      <t xml:space="preserve">  Pending, Other</t>
    </r>
    <r>
      <rPr>
        <vertAlign val="superscript"/>
        <sz val="11"/>
        <rFont val="Calibri"/>
        <family val="2"/>
        <scheme val="minor"/>
      </rPr>
      <t>1</t>
    </r>
  </si>
  <si>
    <r>
      <t xml:space="preserve">  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</si>
  <si>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Unskilled Workers (EW3)</t>
  </si>
  <si>
    <t xml:space="preserve">7) Since petitioners are able to file more than one petition, this report includes all filed petitions; therefore, it could contain multiple petitions for a single individual. </t>
  </si>
  <si>
    <t>National Interest Waiver (NIW)</t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</si>
  <si>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Includes any I-140 filing that lacks an indicated category or specified benefit sought. </t>
    </r>
  </si>
  <si>
    <r>
      <t xml:space="preserve">  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</si>
  <si>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 xml:space="preserve">  National Interest Waiver (NIW)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</si>
  <si>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 xml:space="preserve">Includes cases updated as an administrative closure.  The number of applications awaiting a decision as of the end of the reporting period. </t>
    </r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</si>
  <si>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Includes cases updated as an administrative closure.  The number of applications awaiting a decision as of the end of the reporting period.</t>
    </r>
  </si>
  <si>
    <t>Fiscal Years 2014 to 2025 (Q1-Q4)</t>
  </si>
  <si>
    <t>CLAIMS3 and ELIS, queried 10/2025, PAER0019079</t>
  </si>
  <si>
    <t>Number of Form I-140, Immigrant Petition for Alien Worker Petitions Received and Current Status for Vietnam</t>
  </si>
  <si>
    <t>5) Top five countries are determined by total number of receipts in FY2025 and they are India, China, the Philippines, Brazil, and Vietnam.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</si>
</sst>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theme="0"/>
      <name val="Source Sans Pro"/>
      <family val="2"/>
    </font>
    <font>
      <sz val="11"/>
      <color theme="0"/>
      <name val="Source Sans Pro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9" fillId="0" borderId="0" applyFont="0" applyFill="0" applyBorder="0" applyAlignment="0" applyProtection="0"/>
    <xf numFmtId="0" fontId="18" fillId="0" borderId="0"/>
    <xf numFmtId="43" fontId="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0" fillId="0" borderId="0"/>
    <xf numFmtId="0" fontId="24" fillId="0" borderId="0"/>
    <xf numFmtId="9" fontId="24" fillId="0" borderId="0" applyFont="0" applyFill="0" applyBorder="0" applyAlignment="0" applyProtection="0"/>
    <xf numFmtId="0" fontId="25" fillId="0" borderId="0"/>
    <xf numFmtId="0" fontId="27" fillId="0" borderId="0"/>
    <xf numFmtId="43" fontId="18" fillId="0" borderId="0" applyFont="0" applyFill="0" applyBorder="0" applyAlignment="0" applyProtection="0"/>
  </cellStyleXfs>
  <cellXfs count="69">
    <xf numFmtId="0" fontId="0" fillId="0" borderId="0" xfId="0"/>
    <xf numFmtId="0" fontId="28" fillId="33" borderId="0" xfId="0" applyFont="1" applyFill="1"/>
    <xf numFmtId="0" fontId="28" fillId="33" borderId="17" xfId="0" applyFont="1" applyFill="1" applyBorder="1"/>
    <xf numFmtId="0" fontId="26" fillId="0" borderId="0" xfId="0" applyFont="1"/>
    <xf numFmtId="49" fontId="29" fillId="33" borderId="16" xfId="0" applyNumberFormat="1" applyFont="1" applyFill="1" applyBorder="1" applyAlignment="1">
      <alignment horizontal="left"/>
    </xf>
    <xf numFmtId="0" fontId="29" fillId="33" borderId="0" xfId="0" applyFont="1" applyFill="1"/>
    <xf numFmtId="0" fontId="29" fillId="33" borderId="17" xfId="0" applyFont="1" applyFill="1" applyBorder="1"/>
    <xf numFmtId="49" fontId="16" fillId="34" borderId="11" xfId="43" applyNumberFormat="1" applyFont="1" applyFill="1" applyBorder="1"/>
    <xf numFmtId="49" fontId="30" fillId="0" borderId="11" xfId="43" applyNumberFormat="1" applyFont="1" applyBorder="1" applyAlignment="1">
      <alignment horizontal="left" indent="2"/>
    </xf>
    <xf numFmtId="49" fontId="16" fillId="34" borderId="11" xfId="43" applyNumberFormat="1" applyFont="1" applyFill="1" applyBorder="1" applyAlignment="1">
      <alignment horizontal="left"/>
    </xf>
    <xf numFmtId="49" fontId="30" fillId="34" borderId="11" xfId="43" applyNumberFormat="1" applyFont="1" applyFill="1" applyBorder="1" applyAlignment="1">
      <alignment horizontal="left" indent="1"/>
    </xf>
    <xf numFmtId="49" fontId="32" fillId="0" borderId="11" xfId="43" applyNumberFormat="1" applyFont="1" applyBorder="1"/>
    <xf numFmtId="49" fontId="30" fillId="0" borderId="13" xfId="43" applyNumberFormat="1" applyFont="1" applyBorder="1" applyAlignment="1">
      <alignment horizontal="left" indent="2"/>
    </xf>
    <xf numFmtId="49" fontId="22" fillId="0" borderId="0" xfId="0" applyNumberFormat="1" applyFont="1"/>
    <xf numFmtId="49" fontId="21" fillId="0" borderId="0" xfId="0" applyNumberFormat="1" applyFont="1"/>
    <xf numFmtId="49" fontId="30" fillId="34" borderId="11" xfId="43" applyNumberFormat="1" applyFont="1" applyFill="1" applyBorder="1" applyAlignment="1">
      <alignment horizontal="left"/>
    </xf>
    <xf numFmtId="49" fontId="32" fillId="0" borderId="11" xfId="43" applyNumberFormat="1" applyFont="1" applyBorder="1" applyAlignment="1">
      <alignment horizontal="left"/>
    </xf>
    <xf numFmtId="49" fontId="0" fillId="0" borderId="0" xfId="0" applyNumberFormat="1"/>
    <xf numFmtId="0" fontId="34" fillId="0" borderId="0" xfId="0" applyFont="1"/>
    <xf numFmtId="0" fontId="1" fillId="0" borderId="0" xfId="0" applyFont="1"/>
    <xf numFmtId="49" fontId="30" fillId="0" borderId="11" xfId="43" applyNumberFormat="1" applyFont="1" applyBorder="1" applyAlignment="1">
      <alignment horizontal="left" indent="1"/>
    </xf>
    <xf numFmtId="49" fontId="30" fillId="0" borderId="13" xfId="43" applyNumberFormat="1" applyFont="1" applyBorder="1" applyAlignment="1">
      <alignment horizontal="left" indent="1"/>
    </xf>
    <xf numFmtId="0" fontId="29" fillId="33" borderId="17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26" fillId="0" borderId="0" xfId="0" applyFont="1" applyAlignment="1">
      <alignment horizontal="right"/>
    </xf>
    <xf numFmtId="41" fontId="16" fillId="34" borderId="11" xfId="43" applyNumberFormat="1" applyFont="1" applyFill="1" applyBorder="1" applyAlignment="1">
      <alignment horizontal="left"/>
    </xf>
    <xf numFmtId="41" fontId="16" fillId="34" borderId="10" xfId="0" applyNumberFormat="1" applyFont="1" applyFill="1" applyBorder="1"/>
    <xf numFmtId="41" fontId="16" fillId="34" borderId="12" xfId="0" applyNumberFormat="1" applyFont="1" applyFill="1" applyBorder="1" applyAlignment="1">
      <alignment horizontal="right"/>
    </xf>
    <xf numFmtId="41" fontId="30" fillId="0" borderId="11" xfId="43" applyNumberFormat="1" applyFont="1" applyBorder="1" applyAlignment="1">
      <alignment horizontal="left" indent="2"/>
    </xf>
    <xf numFmtId="41" fontId="0" fillId="0" borderId="10" xfId="0" applyNumberFormat="1" applyBorder="1"/>
    <xf numFmtId="41" fontId="16" fillId="0" borderId="12" xfId="0" applyNumberFormat="1" applyFont="1" applyBorder="1" applyAlignment="1">
      <alignment horizontal="right"/>
    </xf>
    <xf numFmtId="41" fontId="30" fillId="34" borderId="10" xfId="46" applyNumberFormat="1" applyFont="1" applyFill="1" applyBorder="1"/>
    <xf numFmtId="41" fontId="0" fillId="34" borderId="10" xfId="46" applyNumberFormat="1" applyFont="1" applyFill="1" applyBorder="1"/>
    <xf numFmtId="41" fontId="30" fillId="34" borderId="18" xfId="46" applyNumberFormat="1" applyFont="1" applyFill="1" applyBorder="1"/>
    <xf numFmtId="41" fontId="16" fillId="34" borderId="12" xfId="46" applyNumberFormat="1" applyFont="1" applyFill="1" applyBorder="1" applyAlignment="1">
      <alignment horizontal="right"/>
    </xf>
    <xf numFmtId="41" fontId="30" fillId="34" borderId="11" xfId="43" applyNumberFormat="1" applyFont="1" applyFill="1" applyBorder="1" applyAlignment="1">
      <alignment horizontal="left"/>
    </xf>
    <xf numFmtId="41" fontId="32" fillId="0" borderId="11" xfId="43" applyNumberFormat="1" applyFont="1" applyBorder="1" applyAlignment="1">
      <alignment horizontal="left"/>
    </xf>
    <xf numFmtId="41" fontId="30" fillId="0" borderId="10" xfId="46" applyNumberFormat="1" applyFont="1" applyBorder="1"/>
    <xf numFmtId="41" fontId="0" fillId="0" borderId="10" xfId="46" applyNumberFormat="1" applyFont="1" applyFill="1" applyBorder="1"/>
    <xf numFmtId="41" fontId="30" fillId="0" borderId="18" xfId="46" applyNumberFormat="1" applyFont="1" applyBorder="1"/>
    <xf numFmtId="41" fontId="16" fillId="0" borderId="12" xfId="46" applyNumberFormat="1" applyFont="1" applyBorder="1" applyAlignment="1">
      <alignment horizontal="right"/>
    </xf>
    <xf numFmtId="41" fontId="0" fillId="34" borderId="18" xfId="46" applyNumberFormat="1" applyFont="1" applyFill="1" applyBorder="1"/>
    <xf numFmtId="41" fontId="16" fillId="34" borderId="10" xfId="46" applyNumberFormat="1" applyFont="1" applyFill="1" applyBorder="1" applyAlignment="1">
      <alignment horizontal="right"/>
    </xf>
    <xf numFmtId="41" fontId="16" fillId="34" borderId="10" xfId="46" applyNumberFormat="1" applyFont="1" applyFill="1" applyBorder="1"/>
    <xf numFmtId="41" fontId="16" fillId="34" borderId="18" xfId="46" applyNumberFormat="1" applyFont="1" applyFill="1" applyBorder="1" applyAlignment="1">
      <alignment horizontal="right"/>
    </xf>
    <xf numFmtId="41" fontId="30" fillId="0" borderId="10" xfId="46" applyNumberFormat="1" applyFont="1" applyBorder="1" applyAlignment="1">
      <alignment horizontal="right"/>
    </xf>
    <xf numFmtId="41" fontId="0" fillId="0" borderId="18" xfId="46" applyNumberFormat="1" applyFont="1" applyFill="1" applyBorder="1" applyAlignment="1">
      <alignment horizontal="right"/>
    </xf>
    <xf numFmtId="41" fontId="30" fillId="0" borderId="14" xfId="46" applyNumberFormat="1" applyFont="1" applyBorder="1" applyAlignment="1">
      <alignment horizontal="right"/>
    </xf>
    <xf numFmtId="41" fontId="30" fillId="0" borderId="19" xfId="46" applyNumberFormat="1" applyFont="1" applyBorder="1" applyAlignment="1">
      <alignment horizontal="right"/>
    </xf>
    <xf numFmtId="41" fontId="16" fillId="0" borderId="15" xfId="46" applyNumberFormat="1" applyFont="1" applyBorder="1" applyAlignment="1">
      <alignment horizontal="right"/>
    </xf>
    <xf numFmtId="41" fontId="16" fillId="34" borderId="11" xfId="43" applyNumberFormat="1" applyFont="1" applyFill="1" applyBorder="1"/>
    <xf numFmtId="41" fontId="16" fillId="34" borderId="12" xfId="0" applyNumberFormat="1" applyFont="1" applyFill="1" applyBorder="1"/>
    <xf numFmtId="41" fontId="16" fillId="0" borderId="12" xfId="0" applyNumberFormat="1" applyFont="1" applyBorder="1"/>
    <xf numFmtId="41" fontId="16" fillId="34" borderId="12" xfId="46" applyNumberFormat="1" applyFont="1" applyFill="1" applyBorder="1"/>
    <xf numFmtId="41" fontId="30" fillId="34" borderId="11" xfId="43" applyNumberFormat="1" applyFont="1" applyFill="1" applyBorder="1" applyAlignment="1">
      <alignment horizontal="left" indent="1"/>
    </xf>
    <xf numFmtId="41" fontId="32" fillId="0" borderId="11" xfId="43" applyNumberFormat="1" applyFont="1" applyBorder="1"/>
    <xf numFmtId="41" fontId="16" fillId="0" borderId="12" xfId="46" applyNumberFormat="1" applyFont="1" applyBorder="1"/>
    <xf numFmtId="41" fontId="0" fillId="0" borderId="10" xfId="46" applyNumberFormat="1" applyFont="1" applyFill="1" applyBorder="1" applyAlignment="1">
      <alignment horizontal="right"/>
    </xf>
    <xf numFmtId="41" fontId="0" fillId="0" borderId="14" xfId="46" applyNumberFormat="1" applyFont="1" applyFill="1" applyBorder="1" applyAlignment="1">
      <alignment horizontal="right"/>
    </xf>
    <xf numFmtId="41" fontId="35" fillId="0" borderId="15" xfId="46" applyNumberFormat="1" applyFont="1" applyBorder="1" applyAlignment="1">
      <alignment horizontal="right"/>
    </xf>
    <xf numFmtId="41" fontId="0" fillId="0" borderId="18" xfId="0" applyNumberFormat="1" applyBorder="1"/>
    <xf numFmtId="49" fontId="16" fillId="34" borderId="20" xfId="43" applyNumberFormat="1" applyFont="1" applyFill="1" applyBorder="1" applyAlignment="1">
      <alignment horizontal="center" vertical="center"/>
    </xf>
    <xf numFmtId="0" fontId="16" fillId="34" borderId="21" xfId="52" applyNumberFormat="1" applyFont="1" applyFill="1" applyBorder="1" applyAlignment="1">
      <alignment horizontal="center"/>
    </xf>
    <xf numFmtId="49" fontId="16" fillId="34" borderId="22" xfId="46" applyNumberFormat="1" applyFont="1" applyFill="1" applyBorder="1" applyAlignment="1">
      <alignment horizontal="center"/>
    </xf>
    <xf numFmtId="49" fontId="16" fillId="34" borderId="20" xfId="43" applyNumberFormat="1" applyFont="1" applyFill="1" applyBorder="1" applyAlignment="1">
      <alignment horizontal="center"/>
    </xf>
    <xf numFmtId="164" fontId="16" fillId="34" borderId="21" xfId="52" applyNumberFormat="1" applyFont="1" applyFill="1" applyBorder="1" applyAlignment="1">
      <alignment horizontal="center"/>
    </xf>
    <xf numFmtId="49" fontId="16" fillId="34" borderId="22" xfId="46" applyNumberFormat="1" applyFont="1" applyFill="1" applyBorder="1" applyAlignment="1">
      <alignment horizontal="center" wrapText="1"/>
    </xf>
    <xf numFmtId="49" fontId="16" fillId="34" borderId="21" xfId="52" applyNumberFormat="1" applyFont="1" applyFill="1" applyBorder="1" applyAlignment="1">
      <alignment horizontal="center"/>
    </xf>
    <xf numFmtId="41" fontId="0" fillId="0" borderId="0" xfId="0" applyNumberFormat="1"/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 xr:uid="{00000000-0005-0000-0000-00001C000000}"/>
    <cellStyle name="Comma 2 2" xfId="52" xr:uid="{E6208CBD-8E93-4FDD-9633-E791B326408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7000000}"/>
    <cellStyle name="Normal 3" xfId="45" xr:uid="{00000000-0005-0000-0000-000028000000}"/>
    <cellStyle name="Normal 4" xfId="47" xr:uid="{00000000-0005-0000-0000-000029000000}"/>
    <cellStyle name="Normal 5" xfId="48" xr:uid="{00000000-0005-0000-0000-00002A000000}"/>
    <cellStyle name="Normal 6" xfId="50" xr:uid="{D55EAAF3-1E82-4D01-A036-28A26903C8E6}"/>
    <cellStyle name="Normal 7" xfId="51" xr:uid="{7F80E2A7-8186-4EBC-B79D-D02D87689730}"/>
    <cellStyle name="Note" xfId="15" builtinId="10" customBuiltin="1"/>
    <cellStyle name="Output" xfId="10" builtinId="21" customBuiltin="1"/>
    <cellStyle name="Percent 2" xfId="42" xr:uid="{00000000-0005-0000-0000-00002D000000}"/>
    <cellStyle name="Percent 3" xfId="49" xr:uid="{00000000-0005-0000-0000-00002E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200026</xdr:colOff>
      <xdr:row>0</xdr:row>
      <xdr:rowOff>19050</xdr:rowOff>
    </xdr:from>
    <xdr:to>
      <xdr:col>13</xdr:col>
      <xdr:colOff>638176</xdr:colOff>
      <xdr:row>2</xdr:row>
      <xdr:rowOff>171280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D3B5329-B39F-41BD-AEF9-7F195B8B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376" y="19050"/>
          <a:ext cx="1828800" cy="533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28575</xdr:rowOff>
    </xdr:from>
    <xdr:to>
      <xdr:col>13</xdr:col>
      <xdr:colOff>623801</xdr:colOff>
      <xdr:row>3</xdr:row>
      <xdr:rowOff>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92BDFD1-781E-4820-BF03-8F24F7C6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28575"/>
          <a:ext cx="1931901" cy="53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104776</xdr:colOff>
      <xdr:row>0</xdr:row>
      <xdr:rowOff>19050</xdr:rowOff>
    </xdr:from>
    <xdr:to>
      <xdr:col>13</xdr:col>
      <xdr:colOff>600076</xdr:colOff>
      <xdr:row>2</xdr:row>
      <xdr:rowOff>187943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A9B4972-52E2-45B2-8D61-BC7D8A005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6" y="19050"/>
          <a:ext cx="1955800" cy="537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95251</xdr:colOff>
      <xdr:row>0</xdr:row>
      <xdr:rowOff>28575</xdr:rowOff>
    </xdr:from>
    <xdr:to>
      <xdr:col>13</xdr:col>
      <xdr:colOff>590551</xdr:colOff>
      <xdr:row>3</xdr:row>
      <xdr:rowOff>618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92BFAD9-D6EC-44D2-B320-DD779CA1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1" y="28575"/>
          <a:ext cx="1955800" cy="530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114301</xdr:colOff>
      <xdr:row>0</xdr:row>
      <xdr:rowOff>28575</xdr:rowOff>
    </xdr:from>
    <xdr:to>
      <xdr:col>13</xdr:col>
      <xdr:colOff>628651</xdr:colOff>
      <xdr:row>3</xdr:row>
      <xdr:rowOff>2998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B6CE984-89CA-4413-AB35-ACC70EB1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951" y="28575"/>
          <a:ext cx="1974850" cy="533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171451</xdr:colOff>
      <xdr:row>0</xdr:row>
      <xdr:rowOff>19050</xdr:rowOff>
    </xdr:from>
    <xdr:to>
      <xdr:col>13</xdr:col>
      <xdr:colOff>647701</xdr:colOff>
      <xdr:row>2</xdr:row>
      <xdr:rowOff>182389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2302444-7099-4C36-953B-D2CFF3A5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9251" y="19050"/>
          <a:ext cx="1936750" cy="531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96AA-A187-421D-B242-6F790A526326}">
  <sheetPr>
    <tabColor theme="3"/>
    <pageSetUpPr fitToPage="1"/>
  </sheetPr>
  <dimension ref="A1:BE58"/>
  <sheetViews>
    <sheetView tabSelected="1" zoomScaleNormal="100" workbookViewId="0"/>
  </sheetViews>
  <sheetFormatPr defaultColWidth="8.81640625" defaultRowHeight="14.5" x14ac:dyDescent="0.35"/>
  <cols>
    <col min="1" max="1" width="46.26953125" customWidth="1"/>
    <col min="2" max="13" width="10.453125" customWidth="1"/>
    <col min="14" max="14" width="11.1796875" bestFit="1" customWidth="1"/>
    <col min="16" max="16" width="10.54296875" bestFit="1" customWidth="1"/>
    <col min="24" max="24" width="10.1796875" customWidth="1"/>
  </cols>
  <sheetData>
    <row r="1" spans="1:14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5" thickBot="1" x14ac:dyDescent="0.4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3" t="s">
        <v>3</v>
      </c>
    </row>
    <row r="5" spans="1:14" ht="20.149999999999999" customHeight="1" x14ac:dyDescent="0.35">
      <c r="A5" s="7" t="s">
        <v>3</v>
      </c>
      <c r="B5" s="26">
        <v>86995</v>
      </c>
      <c r="C5" s="26">
        <v>102905</v>
      </c>
      <c r="D5" s="26">
        <v>147596</v>
      </c>
      <c r="E5" s="26">
        <v>139379</v>
      </c>
      <c r="F5" s="26">
        <v>137507</v>
      </c>
      <c r="G5" s="26">
        <v>148415</v>
      </c>
      <c r="H5" s="26">
        <v>129528</v>
      </c>
      <c r="I5" s="26">
        <v>178794</v>
      </c>
      <c r="J5" s="26">
        <v>165271</v>
      </c>
      <c r="K5" s="26">
        <v>189027</v>
      </c>
      <c r="L5" s="26">
        <v>228334</v>
      </c>
      <c r="M5" s="26">
        <v>244844</v>
      </c>
      <c r="N5" s="51">
        <f>SUM(B5:M5)</f>
        <v>1898595</v>
      </c>
    </row>
    <row r="6" spans="1:14" ht="15" customHeight="1" x14ac:dyDescent="0.35">
      <c r="A6" s="8" t="s">
        <v>4</v>
      </c>
      <c r="B6" s="29">
        <v>79343</v>
      </c>
      <c r="C6" s="29">
        <v>94011</v>
      </c>
      <c r="D6" s="29">
        <v>134202</v>
      </c>
      <c r="E6" s="29">
        <v>124917</v>
      </c>
      <c r="F6" s="29">
        <v>123588</v>
      </c>
      <c r="G6" s="29">
        <v>134267</v>
      </c>
      <c r="H6" s="29">
        <v>118858</v>
      </c>
      <c r="I6" s="29">
        <v>167916</v>
      </c>
      <c r="J6" s="29">
        <v>152775</v>
      </c>
      <c r="K6" s="29">
        <v>169448</v>
      </c>
      <c r="L6" s="29">
        <v>162521</v>
      </c>
      <c r="M6" s="29">
        <v>113417</v>
      </c>
      <c r="N6" s="52">
        <f>SUM(B6:M6)</f>
        <v>1575263</v>
      </c>
    </row>
    <row r="7" spans="1:14" ht="15" customHeight="1" x14ac:dyDescent="0.35">
      <c r="A7" s="8" t="s">
        <v>5</v>
      </c>
      <c r="B7" s="29">
        <v>6984</v>
      </c>
      <c r="C7" s="29">
        <v>8194</v>
      </c>
      <c r="D7" s="29">
        <v>11561</v>
      </c>
      <c r="E7" s="29">
        <v>12978</v>
      </c>
      <c r="F7" s="29">
        <v>13318</v>
      </c>
      <c r="G7" s="29">
        <v>13585</v>
      </c>
      <c r="H7" s="29">
        <v>9959</v>
      </c>
      <c r="I7" s="29">
        <v>10037</v>
      </c>
      <c r="J7" s="29">
        <v>11611</v>
      </c>
      <c r="K7" s="29">
        <v>16403</v>
      </c>
      <c r="L7" s="29">
        <v>20420</v>
      </c>
      <c r="M7" s="29">
        <v>14150</v>
      </c>
      <c r="N7" s="52">
        <f t="shared" ref="N7:N8" si="0">SUM(B7:M7)</f>
        <v>149200</v>
      </c>
    </row>
    <row r="8" spans="1:14" ht="15" customHeight="1" x14ac:dyDescent="0.35">
      <c r="A8" s="8" t="s">
        <v>6</v>
      </c>
      <c r="B8" s="29">
        <v>668</v>
      </c>
      <c r="C8" s="29">
        <v>700</v>
      </c>
      <c r="D8" s="29">
        <v>1833</v>
      </c>
      <c r="E8" s="29">
        <v>1484</v>
      </c>
      <c r="F8" s="29">
        <v>601</v>
      </c>
      <c r="G8" s="29">
        <v>563</v>
      </c>
      <c r="H8" s="29">
        <v>711</v>
      </c>
      <c r="I8" s="29">
        <v>841</v>
      </c>
      <c r="J8" s="60">
        <v>885</v>
      </c>
      <c r="K8" s="60">
        <v>3176</v>
      </c>
      <c r="L8" s="60">
        <v>45393</v>
      </c>
      <c r="M8" s="60">
        <v>117277</v>
      </c>
      <c r="N8" s="52">
        <f t="shared" si="0"/>
        <v>174132</v>
      </c>
    </row>
    <row r="9" spans="1:14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53"/>
    </row>
    <row r="10" spans="1:14" x14ac:dyDescent="0.35">
      <c r="A10" s="15" t="s">
        <v>8</v>
      </c>
      <c r="B10" s="26">
        <v>22848</v>
      </c>
      <c r="C10" s="26">
        <v>24758</v>
      </c>
      <c r="D10" s="26">
        <v>28727</v>
      </c>
      <c r="E10" s="26">
        <v>32065</v>
      </c>
      <c r="F10" s="26">
        <v>28478</v>
      </c>
      <c r="G10" s="26">
        <v>24129</v>
      </c>
      <c r="H10" s="26">
        <v>21376</v>
      </c>
      <c r="I10" s="26">
        <v>22021</v>
      </c>
      <c r="J10" s="26">
        <v>25953</v>
      </c>
      <c r="K10" s="26">
        <v>37259</v>
      </c>
      <c r="L10" s="26">
        <v>41164</v>
      </c>
      <c r="M10" s="26">
        <v>51345</v>
      </c>
      <c r="N10" s="51">
        <v>360123</v>
      </c>
    </row>
    <row r="11" spans="1:14" ht="15" customHeight="1" x14ac:dyDescent="0.35">
      <c r="A11" s="8" t="s">
        <v>4</v>
      </c>
      <c r="B11" s="29">
        <v>19831</v>
      </c>
      <c r="C11" s="29">
        <v>21810</v>
      </c>
      <c r="D11" s="29">
        <v>25075</v>
      </c>
      <c r="E11" s="29">
        <v>27117</v>
      </c>
      <c r="F11" s="29">
        <v>23101</v>
      </c>
      <c r="G11" s="29">
        <v>19313</v>
      </c>
      <c r="H11" s="29">
        <v>17422</v>
      </c>
      <c r="I11" s="29">
        <v>18478</v>
      </c>
      <c r="J11" s="29">
        <v>21776</v>
      </c>
      <c r="K11" s="29">
        <v>30911</v>
      </c>
      <c r="L11" s="29">
        <v>28194</v>
      </c>
      <c r="M11" s="29">
        <v>22431</v>
      </c>
      <c r="N11" s="52">
        <f>SUM(B11:M11)</f>
        <v>275459</v>
      </c>
    </row>
    <row r="12" spans="1:14" ht="15" customHeight="1" x14ac:dyDescent="0.35">
      <c r="A12" s="8" t="s">
        <v>5</v>
      </c>
      <c r="B12" s="29">
        <v>2772</v>
      </c>
      <c r="C12" s="29">
        <v>2737</v>
      </c>
      <c r="D12" s="29">
        <v>3441</v>
      </c>
      <c r="E12" s="29">
        <v>4763</v>
      </c>
      <c r="F12" s="29">
        <v>5263</v>
      </c>
      <c r="G12" s="29">
        <v>4755</v>
      </c>
      <c r="H12" s="29">
        <v>3888</v>
      </c>
      <c r="I12" s="29">
        <v>3426</v>
      </c>
      <c r="J12" s="29">
        <v>3943</v>
      </c>
      <c r="K12" s="29">
        <v>5250</v>
      </c>
      <c r="L12" s="29">
        <v>4869</v>
      </c>
      <c r="M12" s="29">
        <v>5648</v>
      </c>
      <c r="N12" s="52">
        <f t="shared" ref="N12:N13" si="1">SUM(B12:M12)</f>
        <v>50755</v>
      </c>
    </row>
    <row r="13" spans="1:14" ht="15" customHeight="1" x14ac:dyDescent="0.35">
      <c r="A13" s="8" t="s">
        <v>6</v>
      </c>
      <c r="B13" s="29">
        <v>245</v>
      </c>
      <c r="C13" s="29">
        <v>211</v>
      </c>
      <c r="D13" s="29">
        <v>211</v>
      </c>
      <c r="E13" s="29">
        <v>185</v>
      </c>
      <c r="F13" s="29">
        <v>114</v>
      </c>
      <c r="G13" s="29">
        <v>61</v>
      </c>
      <c r="H13" s="29">
        <v>66</v>
      </c>
      <c r="I13" s="29">
        <v>117</v>
      </c>
      <c r="J13" s="60">
        <v>234</v>
      </c>
      <c r="K13" s="60">
        <v>1098</v>
      </c>
      <c r="L13" s="60">
        <v>8101</v>
      </c>
      <c r="M13" s="60">
        <v>23266</v>
      </c>
      <c r="N13" s="52">
        <f t="shared" si="1"/>
        <v>33909</v>
      </c>
    </row>
    <row r="14" spans="1:14" ht="15" customHeight="1" x14ac:dyDescent="0.35">
      <c r="A14" s="11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56"/>
    </row>
    <row r="15" spans="1:14" ht="15" customHeight="1" x14ac:dyDescent="0.35">
      <c r="A15" s="8" t="s">
        <v>10</v>
      </c>
      <c r="B15" s="29">
        <v>4964</v>
      </c>
      <c r="C15" s="29">
        <v>5923</v>
      </c>
      <c r="D15" s="29">
        <v>7205</v>
      </c>
      <c r="E15" s="29">
        <v>8447</v>
      </c>
      <c r="F15" s="29">
        <v>7152</v>
      </c>
      <c r="G15" s="29">
        <v>4648</v>
      </c>
      <c r="H15" s="29">
        <v>4190</v>
      </c>
      <c r="I15" s="29">
        <v>5382</v>
      </c>
      <c r="J15" s="29">
        <v>7244</v>
      </c>
      <c r="K15" s="29">
        <v>10463</v>
      </c>
      <c r="L15" s="29">
        <v>11180</v>
      </c>
      <c r="M15" s="29">
        <v>9761</v>
      </c>
      <c r="N15" s="52">
        <f>SUM(B15:M15)</f>
        <v>86559</v>
      </c>
    </row>
    <row r="16" spans="1:14" ht="15" customHeight="1" x14ac:dyDescent="0.35">
      <c r="A16" s="8" t="s">
        <v>11</v>
      </c>
      <c r="B16" s="29">
        <v>3369</v>
      </c>
      <c r="C16" s="29">
        <v>3610</v>
      </c>
      <c r="D16" s="29">
        <v>3539</v>
      </c>
      <c r="E16" s="29">
        <v>3813</v>
      </c>
      <c r="F16" s="29">
        <v>3649</v>
      </c>
      <c r="G16" s="29">
        <v>2989</v>
      </c>
      <c r="H16" s="29">
        <v>2593</v>
      </c>
      <c r="I16" s="29">
        <v>3393</v>
      </c>
      <c r="J16" s="29">
        <v>3887</v>
      </c>
      <c r="K16" s="29">
        <v>5191</v>
      </c>
      <c r="L16" s="29">
        <v>4898</v>
      </c>
      <c r="M16" s="29">
        <v>4106</v>
      </c>
      <c r="N16" s="52">
        <f t="shared" ref="N16:N17" si="2">SUM(B16:M16)</f>
        <v>45037</v>
      </c>
    </row>
    <row r="17" spans="1:57" ht="15" customHeight="1" x14ac:dyDescent="0.35">
      <c r="A17" s="8" t="s">
        <v>12</v>
      </c>
      <c r="B17" s="29">
        <v>11498</v>
      </c>
      <c r="C17" s="29">
        <v>12277</v>
      </c>
      <c r="D17" s="29">
        <v>14331</v>
      </c>
      <c r="E17" s="29">
        <v>14857</v>
      </c>
      <c r="F17" s="29">
        <v>12300</v>
      </c>
      <c r="G17" s="29">
        <v>11676</v>
      </c>
      <c r="H17" s="29">
        <v>10639</v>
      </c>
      <c r="I17" s="29">
        <v>9703</v>
      </c>
      <c r="J17" s="29">
        <v>10645</v>
      </c>
      <c r="K17" s="29">
        <v>15257</v>
      </c>
      <c r="L17" s="29">
        <v>12116</v>
      </c>
      <c r="M17" s="29">
        <v>8564</v>
      </c>
      <c r="N17" s="52">
        <f t="shared" si="2"/>
        <v>143863</v>
      </c>
    </row>
    <row r="18" spans="1:57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53"/>
    </row>
    <row r="19" spans="1:57" ht="15" customHeight="1" x14ac:dyDescent="0.35">
      <c r="A19" s="15" t="s">
        <v>8</v>
      </c>
      <c r="B19" s="26">
        <v>49194</v>
      </c>
      <c r="C19" s="26">
        <v>58775</v>
      </c>
      <c r="D19" s="26">
        <v>82527</v>
      </c>
      <c r="E19" s="26">
        <v>70239</v>
      </c>
      <c r="F19" s="26">
        <v>69987</v>
      </c>
      <c r="G19" s="26">
        <v>78232</v>
      </c>
      <c r="H19" s="26">
        <v>67606</v>
      </c>
      <c r="I19" s="26">
        <v>70598</v>
      </c>
      <c r="J19" s="26">
        <v>84473</v>
      </c>
      <c r="K19" s="26">
        <v>93020</v>
      </c>
      <c r="L19" s="26">
        <v>113985</v>
      </c>
      <c r="M19" s="26">
        <v>116196</v>
      </c>
      <c r="N19" s="51">
        <v>954832</v>
      </c>
    </row>
    <row r="20" spans="1:57" ht="15" customHeight="1" x14ac:dyDescent="0.35">
      <c r="A20" s="8" t="s">
        <v>4</v>
      </c>
      <c r="B20" s="29">
        <v>45882</v>
      </c>
      <c r="C20" s="29">
        <v>54902</v>
      </c>
      <c r="D20" s="29">
        <v>77485</v>
      </c>
      <c r="E20" s="29">
        <v>65805</v>
      </c>
      <c r="F20" s="29">
        <v>65812</v>
      </c>
      <c r="G20" s="29">
        <v>73379</v>
      </c>
      <c r="H20" s="29">
        <v>63424</v>
      </c>
      <c r="I20" s="29">
        <v>66155</v>
      </c>
      <c r="J20" s="29">
        <v>78272</v>
      </c>
      <c r="K20" s="29">
        <v>81480</v>
      </c>
      <c r="L20" s="29">
        <v>76059</v>
      </c>
      <c r="M20" s="29">
        <v>53624</v>
      </c>
      <c r="N20" s="52">
        <v>802279</v>
      </c>
    </row>
    <row r="21" spans="1:57" ht="15" customHeight="1" x14ac:dyDescent="0.35">
      <c r="A21" s="8" t="s">
        <v>5</v>
      </c>
      <c r="B21" s="29">
        <v>3121</v>
      </c>
      <c r="C21" s="29">
        <v>3699</v>
      </c>
      <c r="D21" s="29">
        <v>4753</v>
      </c>
      <c r="E21" s="29">
        <v>4217</v>
      </c>
      <c r="F21" s="29">
        <v>3985</v>
      </c>
      <c r="G21" s="29">
        <v>4588</v>
      </c>
      <c r="H21" s="29">
        <v>3910</v>
      </c>
      <c r="I21" s="29">
        <v>4144</v>
      </c>
      <c r="J21" s="29">
        <v>5813</v>
      </c>
      <c r="K21" s="29">
        <v>9949</v>
      </c>
      <c r="L21" s="29">
        <v>14509</v>
      </c>
      <c r="M21" s="29">
        <v>8001</v>
      </c>
      <c r="N21" s="52">
        <v>70689</v>
      </c>
    </row>
    <row r="22" spans="1:57" ht="15" customHeight="1" x14ac:dyDescent="0.35">
      <c r="A22" s="8" t="s">
        <v>6</v>
      </c>
      <c r="B22" s="29">
        <v>191</v>
      </c>
      <c r="C22" s="29">
        <v>174</v>
      </c>
      <c r="D22" s="29">
        <v>289</v>
      </c>
      <c r="E22" s="29">
        <v>217</v>
      </c>
      <c r="F22" s="29">
        <v>190</v>
      </c>
      <c r="G22" s="29">
        <v>265</v>
      </c>
      <c r="H22" s="29">
        <v>272</v>
      </c>
      <c r="I22" s="29">
        <v>299</v>
      </c>
      <c r="J22" s="60">
        <v>388</v>
      </c>
      <c r="K22" s="60">
        <v>1591</v>
      </c>
      <c r="L22" s="60">
        <v>23417</v>
      </c>
      <c r="M22" s="60">
        <v>54571</v>
      </c>
      <c r="N22" s="52">
        <v>81864</v>
      </c>
    </row>
    <row r="23" spans="1:57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56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>
        <f t="shared" ref="AI23:BE23" si="3">SUM(U20:U22)</f>
        <v>0</v>
      </c>
      <c r="AJ23" s="68">
        <f t="shared" si="3"/>
        <v>0</v>
      </c>
      <c r="AK23" s="68">
        <f t="shared" si="3"/>
        <v>0</v>
      </c>
      <c r="AL23" s="68">
        <f t="shared" si="3"/>
        <v>0</v>
      </c>
      <c r="AM23" s="68">
        <f t="shared" si="3"/>
        <v>0</v>
      </c>
      <c r="AN23" s="68">
        <f t="shared" si="3"/>
        <v>0</v>
      </c>
      <c r="AO23" s="68">
        <f t="shared" si="3"/>
        <v>0</v>
      </c>
      <c r="AP23" s="68">
        <f t="shared" si="3"/>
        <v>0</v>
      </c>
      <c r="AQ23" s="68">
        <f t="shared" si="3"/>
        <v>0</v>
      </c>
      <c r="AR23" s="68">
        <f t="shared" si="3"/>
        <v>0</v>
      </c>
      <c r="AS23" s="68">
        <f t="shared" si="3"/>
        <v>0</v>
      </c>
      <c r="AT23" s="68">
        <f t="shared" si="3"/>
        <v>0</v>
      </c>
      <c r="AU23" s="68">
        <f t="shared" si="3"/>
        <v>0</v>
      </c>
      <c r="AV23" s="68">
        <f t="shared" si="3"/>
        <v>0</v>
      </c>
      <c r="AW23" s="68">
        <f t="shared" si="3"/>
        <v>0</v>
      </c>
      <c r="AX23" s="68">
        <f t="shared" si="3"/>
        <v>0</v>
      </c>
      <c r="AY23" s="68">
        <f t="shared" si="3"/>
        <v>0</v>
      </c>
      <c r="AZ23" s="68">
        <f t="shared" si="3"/>
        <v>0</v>
      </c>
      <c r="BA23" s="68">
        <f t="shared" si="3"/>
        <v>0</v>
      </c>
      <c r="BB23" s="68">
        <f t="shared" si="3"/>
        <v>0</v>
      </c>
      <c r="BC23" s="68">
        <f t="shared" si="3"/>
        <v>0</v>
      </c>
      <c r="BD23" s="68">
        <f t="shared" si="3"/>
        <v>0</v>
      </c>
      <c r="BE23" s="68">
        <f t="shared" si="3"/>
        <v>0</v>
      </c>
    </row>
    <row r="24" spans="1:57" ht="15" customHeight="1" x14ac:dyDescent="0.35">
      <c r="A24" s="8" t="s">
        <v>14</v>
      </c>
      <c r="B24" s="29">
        <v>41162</v>
      </c>
      <c r="C24" s="29">
        <v>49415</v>
      </c>
      <c r="D24" s="29">
        <v>71567</v>
      </c>
      <c r="E24" s="29">
        <v>58858</v>
      </c>
      <c r="F24" s="29">
        <v>58728</v>
      </c>
      <c r="G24" s="29">
        <v>63229</v>
      </c>
      <c r="H24" s="29">
        <v>51419</v>
      </c>
      <c r="I24" s="29">
        <v>54189</v>
      </c>
      <c r="J24" s="29">
        <v>60803</v>
      </c>
      <c r="K24" s="29">
        <v>52320</v>
      </c>
      <c r="L24" s="29">
        <v>49413</v>
      </c>
      <c r="M24" s="29">
        <v>43426</v>
      </c>
      <c r="N24" s="52">
        <v>654529</v>
      </c>
    </row>
    <row r="25" spans="1:57" ht="15" customHeight="1" x14ac:dyDescent="0.35">
      <c r="A25" s="8" t="s">
        <v>43</v>
      </c>
      <c r="B25" s="29">
        <v>4720</v>
      </c>
      <c r="C25" s="29">
        <v>5487</v>
      </c>
      <c r="D25" s="29">
        <v>5918</v>
      </c>
      <c r="E25" s="29">
        <v>6947</v>
      </c>
      <c r="F25" s="29">
        <v>7084</v>
      </c>
      <c r="G25" s="29">
        <v>10150</v>
      </c>
      <c r="H25" s="29">
        <v>12005</v>
      </c>
      <c r="I25" s="29">
        <v>11966</v>
      </c>
      <c r="J25" s="29">
        <v>17469</v>
      </c>
      <c r="K25" s="29">
        <v>29160</v>
      </c>
      <c r="L25" s="29">
        <v>26646</v>
      </c>
      <c r="M25" s="29">
        <v>10198</v>
      </c>
      <c r="N25" s="52">
        <v>147750</v>
      </c>
    </row>
    <row r="26" spans="1:57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53"/>
    </row>
    <row r="27" spans="1:57" ht="15" customHeight="1" x14ac:dyDescent="0.35">
      <c r="A27" s="15" t="s">
        <v>8</v>
      </c>
      <c r="B27" s="26">
        <v>14953</v>
      </c>
      <c r="C27" s="26">
        <v>19371</v>
      </c>
      <c r="D27" s="26">
        <v>36336</v>
      </c>
      <c r="E27" s="26">
        <v>37067</v>
      </c>
      <c r="F27" s="26">
        <v>39033</v>
      </c>
      <c r="G27" s="26">
        <v>46052</v>
      </c>
      <c r="H27" s="26">
        <v>40546</v>
      </c>
      <c r="I27" s="26">
        <v>86172</v>
      </c>
      <c r="J27" s="26">
        <v>54842</v>
      </c>
      <c r="K27" s="26">
        <v>58734</v>
      </c>
      <c r="L27" s="26">
        <v>73183</v>
      </c>
      <c r="M27" s="26">
        <v>77303</v>
      </c>
      <c r="N27" s="51">
        <v>583592</v>
      </c>
    </row>
    <row r="28" spans="1:57" ht="15" customHeight="1" x14ac:dyDescent="0.35">
      <c r="A28" s="8" t="s">
        <v>4</v>
      </c>
      <c r="B28" s="29">
        <v>13630</v>
      </c>
      <c r="C28" s="29">
        <v>17298</v>
      </c>
      <c r="D28" s="29">
        <v>31641</v>
      </c>
      <c r="E28" s="29">
        <v>31994</v>
      </c>
      <c r="F28" s="29">
        <v>34669</v>
      </c>
      <c r="G28" s="29">
        <v>41575</v>
      </c>
      <c r="H28" s="29">
        <v>38012</v>
      </c>
      <c r="I28" s="29">
        <v>83283</v>
      </c>
      <c r="J28" s="29">
        <v>52727</v>
      </c>
      <c r="K28" s="29">
        <v>57057</v>
      </c>
      <c r="L28" s="29">
        <v>58268</v>
      </c>
      <c r="M28" s="29">
        <v>37362</v>
      </c>
      <c r="N28" s="52">
        <v>497516</v>
      </c>
    </row>
    <row r="29" spans="1:57" ht="15" customHeight="1" x14ac:dyDescent="0.35">
      <c r="A29" s="8" t="s">
        <v>5</v>
      </c>
      <c r="B29" s="29">
        <v>1091</v>
      </c>
      <c r="C29" s="29">
        <v>1758</v>
      </c>
      <c r="D29" s="29">
        <v>3363</v>
      </c>
      <c r="E29" s="29">
        <v>3996</v>
      </c>
      <c r="F29" s="29">
        <v>4069</v>
      </c>
      <c r="G29" s="29">
        <v>4242</v>
      </c>
      <c r="H29" s="29">
        <v>2161</v>
      </c>
      <c r="I29" s="29">
        <v>2467</v>
      </c>
      <c r="J29" s="29">
        <v>1855</v>
      </c>
      <c r="K29" s="29">
        <v>1204</v>
      </c>
      <c r="L29" s="29">
        <v>1042</v>
      </c>
      <c r="M29" s="29">
        <v>501</v>
      </c>
      <c r="N29" s="52">
        <v>27749</v>
      </c>
    </row>
    <row r="30" spans="1:57" ht="15" customHeight="1" x14ac:dyDescent="0.35">
      <c r="A30" s="8" t="s">
        <v>6</v>
      </c>
      <c r="B30" s="29">
        <v>232</v>
      </c>
      <c r="C30" s="29">
        <v>315</v>
      </c>
      <c r="D30" s="29">
        <v>1332</v>
      </c>
      <c r="E30" s="29">
        <v>1077</v>
      </c>
      <c r="F30" s="29">
        <v>295</v>
      </c>
      <c r="G30" s="29">
        <v>235</v>
      </c>
      <c r="H30" s="29">
        <v>373</v>
      </c>
      <c r="I30" s="29">
        <v>422</v>
      </c>
      <c r="J30" s="60">
        <v>260</v>
      </c>
      <c r="K30" s="60">
        <v>473</v>
      </c>
      <c r="L30" s="60">
        <v>13873</v>
      </c>
      <c r="M30" s="60">
        <v>39440</v>
      </c>
      <c r="N30" s="52">
        <v>58327</v>
      </c>
    </row>
    <row r="31" spans="1:57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56"/>
    </row>
    <row r="32" spans="1:57" ht="15" customHeight="1" x14ac:dyDescent="0.35">
      <c r="A32" s="8" t="s">
        <v>16</v>
      </c>
      <c r="B32" s="29">
        <v>3762</v>
      </c>
      <c r="C32" s="29">
        <v>7799</v>
      </c>
      <c r="D32" s="29">
        <v>11214</v>
      </c>
      <c r="E32" s="29">
        <v>11894</v>
      </c>
      <c r="F32" s="29">
        <v>11772</v>
      </c>
      <c r="G32" s="29">
        <v>15580</v>
      </c>
      <c r="H32" s="29">
        <v>14519</v>
      </c>
      <c r="I32" s="29">
        <v>15705</v>
      </c>
      <c r="J32" s="29">
        <v>19071</v>
      </c>
      <c r="K32" s="29">
        <v>25626</v>
      </c>
      <c r="L32" s="29">
        <v>19988</v>
      </c>
      <c r="M32" s="29">
        <v>11224</v>
      </c>
      <c r="N32" s="52">
        <v>168154</v>
      </c>
    </row>
    <row r="33" spans="1:14" ht="15" customHeight="1" x14ac:dyDescent="0.35">
      <c r="A33" s="8" t="s">
        <v>17</v>
      </c>
      <c r="B33" s="29">
        <v>9528</v>
      </c>
      <c r="C33" s="29">
        <v>8458</v>
      </c>
      <c r="D33" s="29">
        <v>16884</v>
      </c>
      <c r="E33" s="29">
        <v>16327</v>
      </c>
      <c r="F33" s="29">
        <v>18757</v>
      </c>
      <c r="G33" s="29">
        <v>20501</v>
      </c>
      <c r="H33" s="29">
        <v>17497</v>
      </c>
      <c r="I33" s="29">
        <v>60649</v>
      </c>
      <c r="J33" s="29">
        <v>24504</v>
      </c>
      <c r="K33" s="29">
        <v>20430</v>
      </c>
      <c r="L33" s="29">
        <v>23635</v>
      </c>
      <c r="M33" s="29">
        <v>18909</v>
      </c>
      <c r="N33" s="52">
        <v>256079</v>
      </c>
    </row>
    <row r="34" spans="1:14" ht="15" customHeight="1" x14ac:dyDescent="0.35">
      <c r="A34" s="8" t="s">
        <v>41</v>
      </c>
      <c r="B34" s="29">
        <v>340</v>
      </c>
      <c r="C34" s="29">
        <v>1041</v>
      </c>
      <c r="D34" s="29">
        <v>3543</v>
      </c>
      <c r="E34" s="29">
        <v>3773</v>
      </c>
      <c r="F34" s="29">
        <v>4140</v>
      </c>
      <c r="G34" s="29">
        <v>5494</v>
      </c>
      <c r="H34" s="29">
        <v>5996</v>
      </c>
      <c r="I34" s="29">
        <v>6929</v>
      </c>
      <c r="J34" s="29">
        <v>9152</v>
      </c>
      <c r="K34" s="29">
        <v>11001</v>
      </c>
      <c r="L34" s="29">
        <v>14645</v>
      </c>
      <c r="M34" s="29">
        <v>7229</v>
      </c>
      <c r="N34" s="52">
        <v>73283</v>
      </c>
    </row>
    <row r="35" spans="1:14" ht="20.149999999999999" customHeight="1" x14ac:dyDescent="0.35">
      <c r="A35" s="9" t="s">
        <v>18</v>
      </c>
      <c r="B35" s="42">
        <v>0</v>
      </c>
      <c r="C35" s="43">
        <v>1</v>
      </c>
      <c r="D35" s="43">
        <v>6</v>
      </c>
      <c r="E35" s="43">
        <v>8</v>
      </c>
      <c r="F35" s="43">
        <v>9</v>
      </c>
      <c r="G35" s="42">
        <v>2</v>
      </c>
      <c r="H35" s="42">
        <v>0</v>
      </c>
      <c r="I35" s="42">
        <v>3</v>
      </c>
      <c r="J35" s="44">
        <v>3</v>
      </c>
      <c r="K35" s="44">
        <v>14</v>
      </c>
      <c r="L35" s="44">
        <v>2</v>
      </c>
      <c r="M35" s="44">
        <v>0</v>
      </c>
      <c r="N35" s="53">
        <v>48</v>
      </c>
    </row>
    <row r="36" spans="1:14" ht="15" customHeight="1" x14ac:dyDescent="0.35">
      <c r="A36" s="8" t="s">
        <v>4</v>
      </c>
      <c r="B36" s="45">
        <v>0</v>
      </c>
      <c r="C36" s="37">
        <v>1</v>
      </c>
      <c r="D36" s="37">
        <v>1</v>
      </c>
      <c r="E36" s="37">
        <v>1</v>
      </c>
      <c r="F36" s="38">
        <v>6</v>
      </c>
      <c r="G36" s="57">
        <v>0</v>
      </c>
      <c r="H36" s="57">
        <v>0</v>
      </c>
      <c r="I36" s="57">
        <v>0</v>
      </c>
      <c r="J36" s="46">
        <v>0</v>
      </c>
      <c r="K36" s="46">
        <v>0</v>
      </c>
      <c r="L36" s="46">
        <v>0</v>
      </c>
      <c r="M36" s="46">
        <v>0</v>
      </c>
      <c r="N36" s="56">
        <v>9</v>
      </c>
    </row>
    <row r="37" spans="1:14" ht="15" customHeight="1" x14ac:dyDescent="0.35">
      <c r="A37" s="8" t="s">
        <v>5</v>
      </c>
      <c r="B37" s="45">
        <v>0</v>
      </c>
      <c r="C37" s="45">
        <v>0</v>
      </c>
      <c r="D37" s="37">
        <v>4</v>
      </c>
      <c r="E37" s="37">
        <v>2</v>
      </c>
      <c r="F37" s="38">
        <v>1</v>
      </c>
      <c r="G37" s="57">
        <v>0</v>
      </c>
      <c r="H37" s="57">
        <v>0</v>
      </c>
      <c r="I37" s="57">
        <v>0</v>
      </c>
      <c r="J37" s="46">
        <v>0</v>
      </c>
      <c r="K37" s="46">
        <v>0</v>
      </c>
      <c r="L37" s="46">
        <v>0</v>
      </c>
      <c r="M37" s="46">
        <v>0</v>
      </c>
      <c r="N37" s="56">
        <v>7</v>
      </c>
    </row>
    <row r="38" spans="1:14" ht="15" customHeight="1" thickBot="1" x14ac:dyDescent="0.4">
      <c r="A38" s="12" t="s">
        <v>6</v>
      </c>
      <c r="B38" s="47">
        <v>0</v>
      </c>
      <c r="C38" s="47">
        <v>0</v>
      </c>
      <c r="D38" s="47">
        <v>1</v>
      </c>
      <c r="E38" s="47">
        <v>5</v>
      </c>
      <c r="F38" s="58">
        <v>2</v>
      </c>
      <c r="G38" s="58">
        <v>2</v>
      </c>
      <c r="H38" s="58">
        <v>0</v>
      </c>
      <c r="I38" s="47">
        <v>3</v>
      </c>
      <c r="J38" s="48">
        <v>3</v>
      </c>
      <c r="K38" s="48">
        <v>14</v>
      </c>
      <c r="L38" s="48">
        <v>2</v>
      </c>
      <c r="M38" s="48">
        <v>0</v>
      </c>
      <c r="N38" s="59">
        <v>32</v>
      </c>
    </row>
    <row r="39" spans="1:14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5" customHeight="1" x14ac:dyDescent="0.35">
      <c r="A42" s="14" t="s">
        <v>47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5" customHeight="1" x14ac:dyDescent="0.3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5" customHeight="1" x14ac:dyDescent="0.35">
      <c r="A45" s="14" t="s">
        <v>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9.15" customHeight="1" x14ac:dyDescent="0.3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5" customHeight="1" x14ac:dyDescent="0.3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5" customHeight="1" x14ac:dyDescent="0.35">
      <c r="A51" s="14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5" customHeight="1" x14ac:dyDescent="0.3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14" t="s">
        <v>42</v>
      </c>
      <c r="B54" s="3"/>
      <c r="C54" s="3"/>
      <c r="D54" s="3"/>
      <c r="E54" s="3"/>
    </row>
    <row r="55" spans="1:13" x14ac:dyDescent="0.35">
      <c r="A55" s="14" t="s">
        <v>32</v>
      </c>
      <c r="B55" s="3"/>
      <c r="C55" s="3"/>
      <c r="D55" s="3"/>
      <c r="E55" s="3"/>
    </row>
    <row r="56" spans="1:13" ht="29.15" customHeight="1" x14ac:dyDescent="0.35">
      <c r="A56" s="13" t="s">
        <v>33</v>
      </c>
      <c r="B56" s="3"/>
      <c r="C56" s="3"/>
      <c r="D56" s="3"/>
      <c r="E56" s="3"/>
    </row>
    <row r="57" spans="1:13" x14ac:dyDescent="0.35">
      <c r="A57" s="14" t="s">
        <v>34</v>
      </c>
      <c r="B57" s="3"/>
      <c r="C57" s="3"/>
      <c r="D57" s="3"/>
      <c r="E57" s="3"/>
    </row>
    <row r="58" spans="1:13" x14ac:dyDescent="0.35">
      <c r="A58" s="14" t="s">
        <v>50</v>
      </c>
      <c r="B58" s="3"/>
      <c r="C58" s="3"/>
      <c r="D58" s="3"/>
      <c r="E58" s="3"/>
    </row>
  </sheetData>
  <pageMargins left="0.7" right="0.7" top="0.75" bottom="0.75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C45D-9826-43E2-A57A-07EDBB8011F7}">
  <sheetPr>
    <tabColor theme="3"/>
    <pageSetUpPr fitToPage="1"/>
  </sheetPr>
  <dimension ref="A1:N58"/>
  <sheetViews>
    <sheetView topLeftCell="A20" zoomScaleNormal="100" workbookViewId="0">
      <selection activeCell="P19" sqref="P19"/>
    </sheetView>
  </sheetViews>
  <sheetFormatPr defaultColWidth="8.7265625" defaultRowHeight="14.5" x14ac:dyDescent="0.35"/>
  <cols>
    <col min="1" max="1" width="46.26953125" style="17" customWidth="1"/>
    <col min="2" max="14" width="10.453125" customWidth="1"/>
  </cols>
  <sheetData>
    <row r="1" spans="1:14" x14ac:dyDescent="0.35">
      <c r="A1" s="4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" thickBot="1" x14ac:dyDescent="0.4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s="3" customFormat="1" ht="15" customHeight="1" x14ac:dyDescent="0.35">
      <c r="A4" s="64" t="s">
        <v>2</v>
      </c>
      <c r="B4" s="65">
        <v>2014</v>
      </c>
      <c r="C4" s="65">
        <v>2015</v>
      </c>
      <c r="D4" s="65">
        <v>2016</v>
      </c>
      <c r="E4" s="65">
        <v>2017</v>
      </c>
      <c r="F4" s="65">
        <v>2018</v>
      </c>
      <c r="G4" s="65">
        <v>2019</v>
      </c>
      <c r="H4" s="65">
        <v>2020</v>
      </c>
      <c r="I4" s="65">
        <v>2021</v>
      </c>
      <c r="J4" s="65">
        <v>2022</v>
      </c>
      <c r="K4" s="65">
        <v>2023</v>
      </c>
      <c r="L4" s="65">
        <v>2024</v>
      </c>
      <c r="M4" s="65">
        <v>2025</v>
      </c>
      <c r="N4" s="66" t="s">
        <v>3</v>
      </c>
    </row>
    <row r="5" spans="1:14" s="3" customFormat="1" ht="20.149999999999999" customHeight="1" x14ac:dyDescent="0.35">
      <c r="A5" s="50" t="s">
        <v>3</v>
      </c>
      <c r="B5" s="26">
        <v>38081</v>
      </c>
      <c r="C5" s="26">
        <v>47709</v>
      </c>
      <c r="D5" s="26">
        <v>70015</v>
      </c>
      <c r="E5" s="26">
        <v>62342</v>
      </c>
      <c r="F5" s="26">
        <v>58608</v>
      </c>
      <c r="G5" s="26">
        <v>64913</v>
      </c>
      <c r="H5" s="26">
        <v>52918</v>
      </c>
      <c r="I5" s="26">
        <v>96511</v>
      </c>
      <c r="J5" s="26">
        <v>72565</v>
      </c>
      <c r="K5" s="26">
        <v>64755</v>
      </c>
      <c r="L5" s="26">
        <v>65690</v>
      </c>
      <c r="M5" s="26">
        <v>68567</v>
      </c>
      <c r="N5" s="51">
        <v>762674</v>
      </c>
    </row>
    <row r="6" spans="1:14" s="3" customFormat="1" ht="15" customHeight="1" x14ac:dyDescent="0.35">
      <c r="A6" s="28" t="s">
        <v>4</v>
      </c>
      <c r="B6" s="29">
        <v>35195</v>
      </c>
      <c r="C6" s="29">
        <v>43918</v>
      </c>
      <c r="D6" s="29">
        <v>65123</v>
      </c>
      <c r="E6" s="29">
        <v>57954</v>
      </c>
      <c r="F6" s="29">
        <v>54620</v>
      </c>
      <c r="G6" s="29">
        <v>61313</v>
      </c>
      <c r="H6" s="29">
        <v>50145</v>
      </c>
      <c r="I6" s="29">
        <v>92743</v>
      </c>
      <c r="J6" s="29">
        <v>69789</v>
      </c>
      <c r="K6" s="29">
        <v>62730</v>
      </c>
      <c r="L6" s="29">
        <v>58301</v>
      </c>
      <c r="M6" s="29">
        <v>48162</v>
      </c>
      <c r="N6" s="52">
        <v>699993</v>
      </c>
    </row>
    <row r="7" spans="1:14" s="3" customFormat="1" ht="15" customHeight="1" x14ac:dyDescent="0.35">
      <c r="A7" s="28" t="s">
        <v>5</v>
      </c>
      <c r="B7" s="29">
        <v>2779</v>
      </c>
      <c r="C7" s="29">
        <v>3720</v>
      </c>
      <c r="D7" s="29">
        <v>4761</v>
      </c>
      <c r="E7" s="29">
        <v>4272</v>
      </c>
      <c r="F7" s="29">
        <v>3900</v>
      </c>
      <c r="G7" s="29">
        <v>3528</v>
      </c>
      <c r="H7" s="29">
        <v>2715</v>
      </c>
      <c r="I7" s="29">
        <v>3648</v>
      </c>
      <c r="J7" s="29">
        <v>2690</v>
      </c>
      <c r="K7" s="29">
        <v>1734</v>
      </c>
      <c r="L7" s="29">
        <v>3534</v>
      </c>
      <c r="M7" s="29">
        <v>3903</v>
      </c>
      <c r="N7" s="52">
        <v>41184</v>
      </c>
    </row>
    <row r="8" spans="1:14" s="3" customFormat="1" ht="15" customHeight="1" x14ac:dyDescent="0.35">
      <c r="A8" s="8" t="s">
        <v>39</v>
      </c>
      <c r="B8" s="29">
        <v>107</v>
      </c>
      <c r="C8" s="29">
        <v>71</v>
      </c>
      <c r="D8" s="29">
        <v>131</v>
      </c>
      <c r="E8" s="29">
        <v>116</v>
      </c>
      <c r="F8" s="29">
        <v>88</v>
      </c>
      <c r="G8" s="29">
        <v>72</v>
      </c>
      <c r="H8" s="29">
        <v>58</v>
      </c>
      <c r="I8" s="29">
        <v>120</v>
      </c>
      <c r="J8" s="29">
        <v>86</v>
      </c>
      <c r="K8" s="29">
        <v>291</v>
      </c>
      <c r="L8" s="29">
        <v>3855</v>
      </c>
      <c r="M8" s="29">
        <v>16502</v>
      </c>
      <c r="N8" s="52">
        <v>21497</v>
      </c>
    </row>
    <row r="9" spans="1:14" s="3" customFormat="1" ht="20.149999999999999" customHeight="1" x14ac:dyDescent="0.35">
      <c r="A9" s="25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53"/>
    </row>
    <row r="10" spans="1:14" s="3" customFormat="1" ht="15" customHeight="1" x14ac:dyDescent="0.35">
      <c r="A10" s="54" t="s">
        <v>8</v>
      </c>
      <c r="B10" s="26">
        <v>6938</v>
      </c>
      <c r="C10" s="26">
        <v>6750</v>
      </c>
      <c r="D10" s="26">
        <v>8540</v>
      </c>
      <c r="E10" s="26">
        <v>9466</v>
      </c>
      <c r="F10" s="26">
        <v>8769</v>
      </c>
      <c r="G10" s="26">
        <v>7882</v>
      </c>
      <c r="H10" s="26">
        <v>6990</v>
      </c>
      <c r="I10" s="26">
        <v>8169</v>
      </c>
      <c r="J10" s="26">
        <v>9016</v>
      </c>
      <c r="K10" s="26">
        <v>11972</v>
      </c>
      <c r="L10" s="26">
        <v>11973</v>
      </c>
      <c r="M10" s="26">
        <v>14250</v>
      </c>
      <c r="N10" s="51">
        <v>110715</v>
      </c>
    </row>
    <row r="11" spans="1:14" s="3" customFormat="1" ht="15" customHeight="1" x14ac:dyDescent="0.35">
      <c r="A11" s="28" t="s">
        <v>4</v>
      </c>
      <c r="B11" s="29">
        <v>6367</v>
      </c>
      <c r="C11" s="29">
        <v>6127</v>
      </c>
      <c r="D11" s="29">
        <v>7736</v>
      </c>
      <c r="E11" s="29">
        <v>8496</v>
      </c>
      <c r="F11" s="29">
        <v>7574</v>
      </c>
      <c r="G11" s="29">
        <v>6877</v>
      </c>
      <c r="H11" s="29">
        <v>6193</v>
      </c>
      <c r="I11" s="29">
        <v>7238</v>
      </c>
      <c r="J11" s="29">
        <v>8104</v>
      </c>
      <c r="K11" s="29">
        <v>10987</v>
      </c>
      <c r="L11" s="29">
        <v>9013</v>
      </c>
      <c r="M11" s="29">
        <v>6993</v>
      </c>
      <c r="N11" s="52">
        <v>91705</v>
      </c>
    </row>
    <row r="12" spans="1:14" s="3" customFormat="1" ht="15" customHeight="1" x14ac:dyDescent="0.35">
      <c r="A12" s="28" t="s">
        <v>5</v>
      </c>
      <c r="B12" s="29">
        <v>535</v>
      </c>
      <c r="C12" s="29">
        <v>606</v>
      </c>
      <c r="D12" s="29">
        <v>782</v>
      </c>
      <c r="E12" s="29">
        <v>933</v>
      </c>
      <c r="F12" s="29">
        <v>1183</v>
      </c>
      <c r="G12" s="29">
        <v>997</v>
      </c>
      <c r="H12" s="29">
        <v>788</v>
      </c>
      <c r="I12" s="29">
        <v>905</v>
      </c>
      <c r="J12" s="29">
        <v>882</v>
      </c>
      <c r="K12" s="29">
        <v>855</v>
      </c>
      <c r="L12" s="29">
        <v>854</v>
      </c>
      <c r="M12" s="29">
        <v>1474</v>
      </c>
      <c r="N12" s="52">
        <v>10794</v>
      </c>
    </row>
    <row r="13" spans="1:14" s="3" customFormat="1" ht="15" customHeight="1" x14ac:dyDescent="0.35">
      <c r="A13" s="8" t="s">
        <v>39</v>
      </c>
      <c r="B13" s="29">
        <v>36</v>
      </c>
      <c r="C13" s="29">
        <v>17</v>
      </c>
      <c r="D13" s="29">
        <v>22</v>
      </c>
      <c r="E13" s="29">
        <v>37</v>
      </c>
      <c r="F13" s="29">
        <v>12</v>
      </c>
      <c r="G13" s="29">
        <v>8</v>
      </c>
      <c r="H13" s="29">
        <v>9</v>
      </c>
      <c r="I13" s="29">
        <v>26</v>
      </c>
      <c r="J13" s="29">
        <v>30</v>
      </c>
      <c r="K13" s="29">
        <v>130</v>
      </c>
      <c r="L13" s="29">
        <v>2106</v>
      </c>
      <c r="M13" s="29">
        <v>5783</v>
      </c>
      <c r="N13" s="52">
        <v>8216</v>
      </c>
    </row>
    <row r="14" spans="1:14" s="3" customFormat="1" ht="15" customHeight="1" x14ac:dyDescent="0.35">
      <c r="A14" s="55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56"/>
    </row>
    <row r="15" spans="1:14" s="3" customFormat="1" ht="15" customHeight="1" x14ac:dyDescent="0.35">
      <c r="A15" s="28" t="s">
        <v>10</v>
      </c>
      <c r="B15" s="29">
        <v>820</v>
      </c>
      <c r="C15" s="29">
        <v>943</v>
      </c>
      <c r="D15" s="29">
        <v>1128</v>
      </c>
      <c r="E15" s="29">
        <v>1392</v>
      </c>
      <c r="F15" s="29">
        <v>1262</v>
      </c>
      <c r="G15" s="29">
        <v>943</v>
      </c>
      <c r="H15" s="29">
        <v>895</v>
      </c>
      <c r="I15" s="29">
        <v>1377</v>
      </c>
      <c r="J15" s="29">
        <v>1704</v>
      </c>
      <c r="K15" s="29">
        <v>2123</v>
      </c>
      <c r="L15" s="29">
        <v>2319</v>
      </c>
      <c r="M15" s="29">
        <v>2732</v>
      </c>
      <c r="N15" s="52">
        <v>17638</v>
      </c>
    </row>
    <row r="16" spans="1:14" s="3" customFormat="1" ht="15" customHeight="1" x14ac:dyDescent="0.35">
      <c r="A16" s="28" t="s">
        <v>11</v>
      </c>
      <c r="B16" s="29">
        <v>985</v>
      </c>
      <c r="C16" s="29">
        <v>1020</v>
      </c>
      <c r="D16" s="29">
        <v>1077</v>
      </c>
      <c r="E16" s="29">
        <v>1134</v>
      </c>
      <c r="F16" s="29">
        <v>1228</v>
      </c>
      <c r="G16" s="29">
        <v>929</v>
      </c>
      <c r="H16" s="29">
        <v>839</v>
      </c>
      <c r="I16" s="29">
        <v>1228</v>
      </c>
      <c r="J16" s="29">
        <v>1346</v>
      </c>
      <c r="K16" s="29">
        <v>1737</v>
      </c>
      <c r="L16" s="29">
        <v>1478</v>
      </c>
      <c r="M16" s="29">
        <v>1192</v>
      </c>
      <c r="N16" s="52">
        <v>14193</v>
      </c>
    </row>
    <row r="17" spans="1:14" s="3" customFormat="1" ht="15" customHeight="1" x14ac:dyDescent="0.35">
      <c r="A17" s="28" t="s">
        <v>12</v>
      </c>
      <c r="B17" s="29">
        <v>4562</v>
      </c>
      <c r="C17" s="29">
        <v>4164</v>
      </c>
      <c r="D17" s="29">
        <v>5531</v>
      </c>
      <c r="E17" s="29">
        <v>5970</v>
      </c>
      <c r="F17" s="29">
        <v>5084</v>
      </c>
      <c r="G17" s="29">
        <v>5005</v>
      </c>
      <c r="H17" s="29">
        <v>4459</v>
      </c>
      <c r="I17" s="29">
        <v>4633</v>
      </c>
      <c r="J17" s="29">
        <v>5054</v>
      </c>
      <c r="K17" s="29">
        <v>7127</v>
      </c>
      <c r="L17" s="29">
        <v>5216</v>
      </c>
      <c r="M17" s="29">
        <v>3069</v>
      </c>
      <c r="N17" s="52">
        <v>59874</v>
      </c>
    </row>
    <row r="18" spans="1:14" s="3" customFormat="1" ht="20.149999999999999" customHeight="1" x14ac:dyDescent="0.35">
      <c r="A18" s="50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53"/>
    </row>
    <row r="19" spans="1:14" s="3" customFormat="1" ht="15" customHeight="1" x14ac:dyDescent="0.35">
      <c r="A19" s="54" t="s">
        <v>8</v>
      </c>
      <c r="B19" s="26">
        <v>26969</v>
      </c>
      <c r="C19" s="26">
        <v>34113</v>
      </c>
      <c r="D19" s="26">
        <v>50799</v>
      </c>
      <c r="E19" s="26">
        <v>43659</v>
      </c>
      <c r="F19" s="26">
        <v>41193</v>
      </c>
      <c r="G19" s="26">
        <v>45192</v>
      </c>
      <c r="H19" s="26">
        <v>36472</v>
      </c>
      <c r="I19" s="26">
        <v>39021</v>
      </c>
      <c r="J19" s="26">
        <v>46589</v>
      </c>
      <c r="K19" s="26">
        <v>40024</v>
      </c>
      <c r="L19" s="26">
        <v>43327</v>
      </c>
      <c r="M19" s="26">
        <v>43985</v>
      </c>
      <c r="N19" s="51">
        <v>491343</v>
      </c>
    </row>
    <row r="20" spans="1:14" s="3" customFormat="1" ht="15" customHeight="1" x14ac:dyDescent="0.35">
      <c r="A20" s="28" t="s">
        <v>4</v>
      </c>
      <c r="B20" s="29">
        <v>25000</v>
      </c>
      <c r="C20" s="29">
        <v>31539</v>
      </c>
      <c r="D20" s="29">
        <v>47442</v>
      </c>
      <c r="E20" s="29">
        <v>40858</v>
      </c>
      <c r="F20" s="29">
        <v>38994</v>
      </c>
      <c r="G20" s="29">
        <v>43266</v>
      </c>
      <c r="H20" s="29">
        <v>34924</v>
      </c>
      <c r="I20" s="29">
        <v>37504</v>
      </c>
      <c r="J20" s="29">
        <v>45152</v>
      </c>
      <c r="K20" s="29">
        <v>39216</v>
      </c>
      <c r="L20" s="29">
        <v>39165</v>
      </c>
      <c r="M20" s="29">
        <v>32058</v>
      </c>
      <c r="N20" s="52">
        <v>455118</v>
      </c>
    </row>
    <row r="21" spans="1:14" s="3" customFormat="1" ht="15" customHeight="1" x14ac:dyDescent="0.35">
      <c r="A21" s="28" t="s">
        <v>5</v>
      </c>
      <c r="B21" s="29">
        <v>1904</v>
      </c>
      <c r="C21" s="29">
        <v>2531</v>
      </c>
      <c r="D21" s="29">
        <v>3266</v>
      </c>
      <c r="E21" s="29">
        <v>2732</v>
      </c>
      <c r="F21" s="29">
        <v>2142</v>
      </c>
      <c r="G21" s="29">
        <v>1880</v>
      </c>
      <c r="H21" s="29">
        <v>1512</v>
      </c>
      <c r="I21" s="29">
        <v>1494</v>
      </c>
      <c r="J21" s="29">
        <v>1407</v>
      </c>
      <c r="K21" s="29">
        <v>688</v>
      </c>
      <c r="L21" s="29">
        <v>2529</v>
      </c>
      <c r="M21" s="29">
        <v>2342</v>
      </c>
      <c r="N21" s="52">
        <v>24427</v>
      </c>
    </row>
    <row r="22" spans="1:14" s="3" customFormat="1" ht="15" customHeight="1" x14ac:dyDescent="0.35">
      <c r="A22" s="8" t="s">
        <v>39</v>
      </c>
      <c r="B22" s="29">
        <v>65</v>
      </c>
      <c r="C22" s="29">
        <v>43</v>
      </c>
      <c r="D22" s="29">
        <v>91</v>
      </c>
      <c r="E22" s="29">
        <v>69</v>
      </c>
      <c r="F22" s="29">
        <v>57</v>
      </c>
      <c r="G22" s="29">
        <v>46</v>
      </c>
      <c r="H22" s="29">
        <v>36</v>
      </c>
      <c r="I22" s="29">
        <v>23</v>
      </c>
      <c r="J22" s="29">
        <v>30</v>
      </c>
      <c r="K22" s="29">
        <v>120</v>
      </c>
      <c r="L22" s="29">
        <v>1633</v>
      </c>
      <c r="M22" s="29">
        <v>9585</v>
      </c>
      <c r="N22" s="52">
        <v>11798</v>
      </c>
    </row>
    <row r="23" spans="1:14" s="3" customFormat="1" ht="15" customHeight="1" x14ac:dyDescent="0.35">
      <c r="A23" s="55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56"/>
    </row>
    <row r="24" spans="1:14" s="3" customFormat="1" ht="15" customHeight="1" x14ac:dyDescent="0.35">
      <c r="A24" s="8" t="s">
        <v>45</v>
      </c>
      <c r="B24" s="29">
        <v>24424</v>
      </c>
      <c r="C24" s="29">
        <v>30823</v>
      </c>
      <c r="D24" s="29">
        <v>46791</v>
      </c>
      <c r="E24" s="29">
        <v>40195</v>
      </c>
      <c r="F24" s="29">
        <v>38385</v>
      </c>
      <c r="G24" s="29">
        <v>42472</v>
      </c>
      <c r="H24" s="29">
        <v>33787</v>
      </c>
      <c r="I24" s="29">
        <v>36369</v>
      </c>
      <c r="J24" s="29">
        <v>44037</v>
      </c>
      <c r="K24" s="29">
        <v>37162</v>
      </c>
      <c r="L24" s="29">
        <v>35299</v>
      </c>
      <c r="M24" s="29">
        <v>30128</v>
      </c>
      <c r="N24" s="52">
        <v>439872</v>
      </c>
    </row>
    <row r="25" spans="1:14" s="3" customFormat="1" ht="15" customHeight="1" x14ac:dyDescent="0.35">
      <c r="A25" s="8" t="s">
        <v>46</v>
      </c>
      <c r="B25" s="29">
        <v>576</v>
      </c>
      <c r="C25" s="29">
        <v>716</v>
      </c>
      <c r="D25" s="29">
        <v>651</v>
      </c>
      <c r="E25" s="29">
        <v>663</v>
      </c>
      <c r="F25" s="29">
        <v>609</v>
      </c>
      <c r="G25" s="29">
        <v>794</v>
      </c>
      <c r="H25" s="29">
        <v>1137</v>
      </c>
      <c r="I25" s="29">
        <v>1135</v>
      </c>
      <c r="J25" s="29">
        <v>1115</v>
      </c>
      <c r="K25" s="29">
        <v>2054</v>
      </c>
      <c r="L25" s="29">
        <v>3866</v>
      </c>
      <c r="M25" s="29">
        <v>1930</v>
      </c>
      <c r="N25" s="52">
        <v>15246</v>
      </c>
    </row>
    <row r="26" spans="1:14" s="3" customFormat="1" ht="20.149999999999999" customHeight="1" x14ac:dyDescent="0.35">
      <c r="A26" s="25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53"/>
    </row>
    <row r="27" spans="1:14" s="3" customFormat="1" ht="15" customHeight="1" x14ac:dyDescent="0.35">
      <c r="A27" s="54" t="s">
        <v>8</v>
      </c>
      <c r="B27" s="26">
        <v>4174</v>
      </c>
      <c r="C27" s="26">
        <v>6845</v>
      </c>
      <c r="D27" s="26">
        <v>10675</v>
      </c>
      <c r="E27" s="26">
        <v>9216</v>
      </c>
      <c r="F27" s="26">
        <v>8646</v>
      </c>
      <c r="G27" s="26">
        <v>11839</v>
      </c>
      <c r="H27" s="26">
        <v>9456</v>
      </c>
      <c r="I27" s="26">
        <v>49321</v>
      </c>
      <c r="J27" s="26">
        <v>16960</v>
      </c>
      <c r="K27" s="26">
        <v>12759</v>
      </c>
      <c r="L27" s="26">
        <v>10390</v>
      </c>
      <c r="M27" s="26">
        <v>10332</v>
      </c>
      <c r="N27" s="51">
        <v>160613</v>
      </c>
    </row>
    <row r="28" spans="1:14" s="3" customFormat="1" ht="15" customHeight="1" x14ac:dyDescent="0.35">
      <c r="A28" s="28" t="s">
        <v>4</v>
      </c>
      <c r="B28" s="29">
        <v>3828</v>
      </c>
      <c r="C28" s="29">
        <v>6251</v>
      </c>
      <c r="D28" s="29">
        <v>9945</v>
      </c>
      <c r="E28" s="29">
        <v>8600</v>
      </c>
      <c r="F28" s="29">
        <v>8052</v>
      </c>
      <c r="G28" s="29">
        <v>11170</v>
      </c>
      <c r="H28" s="29">
        <v>9028</v>
      </c>
      <c r="I28" s="29">
        <v>48001</v>
      </c>
      <c r="J28" s="29">
        <v>16533</v>
      </c>
      <c r="K28" s="29">
        <v>12527</v>
      </c>
      <c r="L28" s="29">
        <v>10123</v>
      </c>
      <c r="M28" s="29">
        <v>9111</v>
      </c>
      <c r="N28" s="52">
        <v>153169</v>
      </c>
    </row>
    <row r="29" spans="1:14" s="3" customFormat="1" ht="15" customHeight="1" x14ac:dyDescent="0.35">
      <c r="A29" s="28" t="s">
        <v>5</v>
      </c>
      <c r="B29" s="3">
        <v>340</v>
      </c>
      <c r="C29" s="29">
        <v>583</v>
      </c>
      <c r="D29" s="29">
        <v>712</v>
      </c>
      <c r="E29" s="29">
        <v>606</v>
      </c>
      <c r="F29" s="29">
        <v>575</v>
      </c>
      <c r="G29" s="29">
        <v>651</v>
      </c>
      <c r="H29" s="29">
        <v>415</v>
      </c>
      <c r="I29" s="29">
        <v>1249</v>
      </c>
      <c r="J29" s="29">
        <v>401</v>
      </c>
      <c r="K29" s="29">
        <v>191</v>
      </c>
      <c r="L29" s="29">
        <v>151</v>
      </c>
      <c r="M29" s="29">
        <v>87</v>
      </c>
      <c r="N29" s="52">
        <v>5961</v>
      </c>
    </row>
    <row r="30" spans="1:14" s="3" customFormat="1" ht="15" customHeight="1" x14ac:dyDescent="0.35">
      <c r="A30" s="8" t="s">
        <v>39</v>
      </c>
      <c r="B30" s="29">
        <v>6</v>
      </c>
      <c r="C30" s="29">
        <v>11</v>
      </c>
      <c r="D30" s="29">
        <v>18</v>
      </c>
      <c r="E30" s="29">
        <v>10</v>
      </c>
      <c r="F30" s="29">
        <v>19</v>
      </c>
      <c r="G30" s="29">
        <v>18</v>
      </c>
      <c r="H30" s="29">
        <v>13</v>
      </c>
      <c r="I30" s="29">
        <v>71</v>
      </c>
      <c r="J30" s="29">
        <v>26</v>
      </c>
      <c r="K30" s="29">
        <v>41</v>
      </c>
      <c r="L30" s="29">
        <v>116</v>
      </c>
      <c r="M30" s="29">
        <v>1134</v>
      </c>
      <c r="N30" s="52">
        <v>1483</v>
      </c>
    </row>
    <row r="31" spans="1:14" s="3" customFormat="1" ht="15" customHeight="1" x14ac:dyDescent="0.35">
      <c r="A31" s="55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56"/>
    </row>
    <row r="32" spans="1:14" s="3" customFormat="1" ht="15" customHeight="1" x14ac:dyDescent="0.35">
      <c r="A32" s="28" t="s">
        <v>16</v>
      </c>
      <c r="B32" s="29">
        <v>1241</v>
      </c>
      <c r="C32" s="29">
        <v>3054</v>
      </c>
      <c r="D32" s="29">
        <v>4008</v>
      </c>
      <c r="E32" s="29">
        <v>4207</v>
      </c>
      <c r="F32" s="29">
        <v>2902</v>
      </c>
      <c r="G32" s="29">
        <v>3915</v>
      </c>
      <c r="H32" s="29">
        <v>3321</v>
      </c>
      <c r="I32" s="29">
        <v>4671</v>
      </c>
      <c r="J32" s="29">
        <v>3769</v>
      </c>
      <c r="K32" s="29">
        <v>2967</v>
      </c>
      <c r="L32" s="29">
        <v>1969</v>
      </c>
      <c r="M32" s="29">
        <v>1852</v>
      </c>
      <c r="N32" s="52">
        <v>37876</v>
      </c>
    </row>
    <row r="33" spans="1:14" s="3" customFormat="1" ht="15" customHeight="1" x14ac:dyDescent="0.35">
      <c r="A33" s="28" t="s">
        <v>17</v>
      </c>
      <c r="B33" s="29">
        <v>2580</v>
      </c>
      <c r="C33" s="29">
        <v>3188</v>
      </c>
      <c r="D33" s="29">
        <v>5910</v>
      </c>
      <c r="E33" s="29">
        <v>4375</v>
      </c>
      <c r="F33" s="29">
        <v>5126</v>
      </c>
      <c r="G33" s="29">
        <v>7204</v>
      </c>
      <c r="H33" s="29">
        <v>5686</v>
      </c>
      <c r="I33" s="29">
        <v>43292</v>
      </c>
      <c r="J33" s="29">
        <v>12733</v>
      </c>
      <c r="K33" s="29">
        <v>9541</v>
      </c>
      <c r="L33" s="29">
        <v>8130</v>
      </c>
      <c r="M33" s="29">
        <v>7244</v>
      </c>
      <c r="N33" s="52">
        <v>115009</v>
      </c>
    </row>
    <row r="34" spans="1:14" s="3" customFormat="1" ht="15" customHeight="1" x14ac:dyDescent="0.35">
      <c r="A34" s="28" t="s">
        <v>41</v>
      </c>
      <c r="B34" s="29">
        <v>7</v>
      </c>
      <c r="C34" s="29">
        <v>9</v>
      </c>
      <c r="D34" s="29">
        <v>27</v>
      </c>
      <c r="E34" s="29">
        <v>18</v>
      </c>
      <c r="F34" s="29">
        <v>24</v>
      </c>
      <c r="G34" s="29">
        <v>51</v>
      </c>
      <c r="H34" s="29">
        <v>21</v>
      </c>
      <c r="I34" s="29">
        <v>38</v>
      </c>
      <c r="J34" s="29">
        <v>31</v>
      </c>
      <c r="K34" s="29">
        <v>19</v>
      </c>
      <c r="L34" s="29">
        <v>24</v>
      </c>
      <c r="M34" s="29">
        <v>15</v>
      </c>
      <c r="N34" s="52">
        <v>284</v>
      </c>
    </row>
    <row r="35" spans="1:14" s="3" customFormat="1" ht="20.149999999999999" customHeight="1" x14ac:dyDescent="0.35">
      <c r="A35" s="9" t="s">
        <v>40</v>
      </c>
      <c r="B35" s="42">
        <v>0</v>
      </c>
      <c r="C35" s="42">
        <v>1</v>
      </c>
      <c r="D35" s="42">
        <v>1</v>
      </c>
      <c r="E35" s="43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53">
        <v>3</v>
      </c>
    </row>
    <row r="36" spans="1:14" s="3" customFormat="1" ht="15" customHeight="1" x14ac:dyDescent="0.35">
      <c r="A36" s="28" t="s">
        <v>4</v>
      </c>
      <c r="B36" s="45">
        <v>0</v>
      </c>
      <c r="C36" s="45">
        <v>1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56">
        <v>1</v>
      </c>
    </row>
    <row r="37" spans="1:14" s="3" customFormat="1" ht="15" customHeight="1" x14ac:dyDescent="0.35">
      <c r="A37" s="28" t="s">
        <v>5</v>
      </c>
      <c r="B37" s="45">
        <v>0</v>
      </c>
      <c r="C37" s="45">
        <v>0</v>
      </c>
      <c r="D37" s="45">
        <v>1</v>
      </c>
      <c r="E37" s="37">
        <v>1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56">
        <v>2</v>
      </c>
    </row>
    <row r="38" spans="1:14" s="3" customFormat="1" ht="15" customHeight="1" thickBot="1" x14ac:dyDescent="0.4">
      <c r="A38" s="12" t="s">
        <v>39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9" t="s">
        <v>19</v>
      </c>
    </row>
    <row r="39" spans="1:14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4.5" customHeight="1" x14ac:dyDescent="0.35">
      <c r="A42" s="14" t="s">
        <v>47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4.5" customHeight="1" x14ac:dyDescent="0.3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4.5" customHeight="1" x14ac:dyDescent="0.35">
      <c r="A45" s="14" t="s">
        <v>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28.9" customHeight="1" x14ac:dyDescent="0.3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5" customHeight="1" x14ac:dyDescent="0.3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5" customHeight="1" x14ac:dyDescent="0.35">
      <c r="A54" s="14" t="s">
        <v>42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4.5" customHeight="1" x14ac:dyDescent="0.35">
      <c r="A55" s="14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28.9" customHeight="1" x14ac:dyDescent="0.35">
      <c r="A56" s="1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5" customHeight="1" x14ac:dyDescent="0.35">
      <c r="A57" s="14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4.5" customHeight="1" x14ac:dyDescent="0.35">
      <c r="A58" s="14" t="s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</sheetData>
  <pageMargins left="0.7" right="0.7" top="0.75" bottom="0.75" header="0.3" footer="0.3"/>
  <pageSetup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DBBB-786A-4C0B-B9D7-43035AB11367}">
  <sheetPr>
    <tabColor theme="3"/>
    <pageSetUpPr fitToPage="1"/>
  </sheetPr>
  <dimension ref="A1:N58"/>
  <sheetViews>
    <sheetView topLeftCell="A29" zoomScaleNormal="100" workbookViewId="0">
      <selection activeCell="A51" sqref="A51"/>
    </sheetView>
  </sheetViews>
  <sheetFormatPr defaultColWidth="8.7265625" defaultRowHeight="14.5" x14ac:dyDescent="0.35"/>
  <cols>
    <col min="1" max="1" width="46.26953125" style="17" customWidth="1"/>
    <col min="2" max="13" width="10.453125" customWidth="1"/>
    <col min="14" max="14" width="10.453125" style="23" customWidth="1"/>
  </cols>
  <sheetData>
    <row r="1" spans="1:14" x14ac:dyDescent="0.35">
      <c r="A1" s="4" t="s">
        <v>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2"/>
    </row>
    <row r="2" spans="1:14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2"/>
    </row>
    <row r="3" spans="1:14" ht="15" thickBot="1" x14ac:dyDescent="0.4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2"/>
    </row>
    <row r="4" spans="1:14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6" t="s">
        <v>3</v>
      </c>
    </row>
    <row r="5" spans="1:14" ht="20.149999999999999" customHeight="1" x14ac:dyDescent="0.35">
      <c r="A5" s="25" t="s">
        <v>3</v>
      </c>
      <c r="B5" s="26">
        <v>12611</v>
      </c>
      <c r="C5" s="26">
        <v>11601</v>
      </c>
      <c r="D5" s="26">
        <v>16982</v>
      </c>
      <c r="E5" s="26">
        <v>17493</v>
      </c>
      <c r="F5" s="26">
        <v>18694</v>
      </c>
      <c r="G5" s="26">
        <v>20485</v>
      </c>
      <c r="H5" s="26">
        <v>20038</v>
      </c>
      <c r="I5" s="26">
        <v>24704</v>
      </c>
      <c r="J5" s="26">
        <v>19933</v>
      </c>
      <c r="K5" s="26">
        <v>25781</v>
      </c>
      <c r="L5" s="26">
        <v>35484</v>
      </c>
      <c r="M5" s="26">
        <v>33295</v>
      </c>
      <c r="N5" s="27">
        <v>257101</v>
      </c>
    </row>
    <row r="6" spans="1:14" ht="15" customHeight="1" x14ac:dyDescent="0.35">
      <c r="A6" s="28" t="s">
        <v>4</v>
      </c>
      <c r="B6" s="29">
        <v>11724</v>
      </c>
      <c r="C6" s="29">
        <v>10702</v>
      </c>
      <c r="D6" s="29">
        <v>15365</v>
      </c>
      <c r="E6" s="29">
        <v>15637</v>
      </c>
      <c r="F6" s="29">
        <v>16616</v>
      </c>
      <c r="G6" s="29">
        <v>17854</v>
      </c>
      <c r="H6" s="29">
        <v>17990</v>
      </c>
      <c r="I6" s="29">
        <v>23124</v>
      </c>
      <c r="J6" s="29">
        <v>18241</v>
      </c>
      <c r="K6" s="29">
        <v>22990</v>
      </c>
      <c r="L6" s="29">
        <v>26401</v>
      </c>
      <c r="M6" s="29">
        <v>15210</v>
      </c>
      <c r="N6" s="30">
        <v>211854</v>
      </c>
    </row>
    <row r="7" spans="1:14" ht="15" customHeight="1" x14ac:dyDescent="0.35">
      <c r="A7" s="28" t="s">
        <v>5</v>
      </c>
      <c r="B7" s="29">
        <v>749</v>
      </c>
      <c r="C7" s="29">
        <v>701</v>
      </c>
      <c r="D7" s="29">
        <v>1172</v>
      </c>
      <c r="E7" s="29">
        <v>1610</v>
      </c>
      <c r="F7" s="29">
        <v>1959</v>
      </c>
      <c r="G7" s="29">
        <v>2416</v>
      </c>
      <c r="H7" s="29">
        <v>1829</v>
      </c>
      <c r="I7" s="29">
        <v>1429</v>
      </c>
      <c r="J7" s="29">
        <v>1569</v>
      </c>
      <c r="K7" s="29">
        <v>2297</v>
      </c>
      <c r="L7" s="29">
        <v>3190</v>
      </c>
      <c r="M7" s="29">
        <v>2669</v>
      </c>
      <c r="N7" s="30">
        <v>21590</v>
      </c>
    </row>
    <row r="8" spans="1:14" ht="15" customHeight="1" x14ac:dyDescent="0.35">
      <c r="A8" s="8" t="s">
        <v>39</v>
      </c>
      <c r="B8" s="29">
        <v>138</v>
      </c>
      <c r="C8" s="29">
        <v>198</v>
      </c>
      <c r="D8" s="29">
        <v>445</v>
      </c>
      <c r="E8" s="29">
        <v>246</v>
      </c>
      <c r="F8" s="29">
        <v>119</v>
      </c>
      <c r="G8" s="29">
        <v>215</v>
      </c>
      <c r="H8" s="29">
        <v>219</v>
      </c>
      <c r="I8" s="29">
        <v>151</v>
      </c>
      <c r="J8" s="29">
        <v>123</v>
      </c>
      <c r="K8" s="29">
        <v>494</v>
      </c>
      <c r="L8" s="29">
        <v>5893</v>
      </c>
      <c r="M8" s="29">
        <v>15416</v>
      </c>
      <c r="N8" s="30">
        <v>23657</v>
      </c>
    </row>
    <row r="9" spans="1:14" ht="20.149999999999999" customHeight="1" x14ac:dyDescent="0.35">
      <c r="A9" s="25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4"/>
    </row>
    <row r="10" spans="1:14" ht="14.5" customHeight="1" x14ac:dyDescent="0.35">
      <c r="A10" s="35" t="s">
        <v>8</v>
      </c>
      <c r="B10" s="26">
        <v>4434</v>
      </c>
      <c r="C10" s="26">
        <v>4864</v>
      </c>
      <c r="D10" s="26">
        <v>5328</v>
      </c>
      <c r="E10" s="26">
        <v>6120</v>
      </c>
      <c r="F10" s="26">
        <v>5979</v>
      </c>
      <c r="G10" s="26">
        <v>5615</v>
      </c>
      <c r="H10" s="26">
        <v>4390</v>
      </c>
      <c r="I10" s="26">
        <v>4415</v>
      </c>
      <c r="J10" s="26">
        <v>5643</v>
      </c>
      <c r="K10" s="26">
        <v>9386</v>
      </c>
      <c r="L10" s="26">
        <v>10486</v>
      </c>
      <c r="M10" s="26">
        <v>11731</v>
      </c>
      <c r="N10" s="27">
        <v>78391</v>
      </c>
    </row>
    <row r="11" spans="1:14" ht="15" customHeight="1" x14ac:dyDescent="0.35">
      <c r="A11" s="28" t="s">
        <v>4</v>
      </c>
      <c r="B11" s="29">
        <v>3824</v>
      </c>
      <c r="C11" s="29">
        <v>4308</v>
      </c>
      <c r="D11" s="29">
        <v>4616</v>
      </c>
      <c r="E11" s="29">
        <v>4938</v>
      </c>
      <c r="F11" s="29">
        <v>4492</v>
      </c>
      <c r="G11" s="29">
        <v>3702</v>
      </c>
      <c r="H11" s="29">
        <v>2963</v>
      </c>
      <c r="I11" s="29">
        <v>3386</v>
      </c>
      <c r="J11" s="29">
        <v>4309</v>
      </c>
      <c r="K11" s="29">
        <v>7178</v>
      </c>
      <c r="L11" s="29">
        <v>6532</v>
      </c>
      <c r="M11" s="29">
        <v>4034</v>
      </c>
      <c r="N11" s="30">
        <v>54282</v>
      </c>
    </row>
    <row r="12" spans="1:14" ht="15" customHeight="1" x14ac:dyDescent="0.35">
      <c r="A12" s="28" t="s">
        <v>5</v>
      </c>
      <c r="B12" s="29">
        <v>540</v>
      </c>
      <c r="C12" s="29">
        <v>495</v>
      </c>
      <c r="D12" s="29">
        <v>664</v>
      </c>
      <c r="E12" s="29">
        <v>1138</v>
      </c>
      <c r="F12" s="29">
        <v>1450</v>
      </c>
      <c r="G12" s="29">
        <v>1894</v>
      </c>
      <c r="H12" s="29">
        <v>1404</v>
      </c>
      <c r="I12" s="29">
        <v>999</v>
      </c>
      <c r="J12" s="29">
        <v>1243</v>
      </c>
      <c r="K12" s="29">
        <v>1846</v>
      </c>
      <c r="L12" s="29">
        <v>1405</v>
      </c>
      <c r="M12" s="29">
        <v>1061</v>
      </c>
      <c r="N12" s="30">
        <v>14139</v>
      </c>
    </row>
    <row r="13" spans="1:14" ht="15" customHeight="1" x14ac:dyDescent="0.35">
      <c r="A13" s="8" t="s">
        <v>39</v>
      </c>
      <c r="B13" s="29">
        <v>70</v>
      </c>
      <c r="C13" s="29">
        <v>61</v>
      </c>
      <c r="D13" s="29">
        <v>48</v>
      </c>
      <c r="E13" s="29">
        <v>44</v>
      </c>
      <c r="F13" s="29">
        <v>37</v>
      </c>
      <c r="G13" s="29">
        <v>19</v>
      </c>
      <c r="H13" s="29">
        <v>23</v>
      </c>
      <c r="I13" s="29">
        <v>30</v>
      </c>
      <c r="J13" s="29">
        <v>91</v>
      </c>
      <c r="K13" s="29">
        <v>362</v>
      </c>
      <c r="L13" s="29">
        <v>2549</v>
      </c>
      <c r="M13" s="29">
        <v>6636</v>
      </c>
      <c r="N13" s="30">
        <v>9970</v>
      </c>
    </row>
    <row r="14" spans="1:14" ht="15" customHeight="1" x14ac:dyDescent="0.35">
      <c r="A14" s="3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40"/>
    </row>
    <row r="15" spans="1:14" ht="15" customHeight="1" x14ac:dyDescent="0.35">
      <c r="A15" s="28" t="s">
        <v>10</v>
      </c>
      <c r="B15" s="29">
        <v>1789</v>
      </c>
      <c r="C15" s="29">
        <v>2088</v>
      </c>
      <c r="D15" s="29">
        <v>2364</v>
      </c>
      <c r="E15" s="29">
        <v>2704</v>
      </c>
      <c r="F15" s="29">
        <v>2352</v>
      </c>
      <c r="G15" s="29">
        <v>1737</v>
      </c>
      <c r="H15" s="29">
        <v>1295</v>
      </c>
      <c r="I15" s="29">
        <v>1623</v>
      </c>
      <c r="J15" s="29">
        <v>2326</v>
      </c>
      <c r="K15" s="29">
        <v>4296</v>
      </c>
      <c r="L15" s="29">
        <v>3712</v>
      </c>
      <c r="M15" s="29">
        <v>1791</v>
      </c>
      <c r="N15" s="30">
        <v>28077</v>
      </c>
    </row>
    <row r="16" spans="1:14" ht="15" customHeight="1" x14ac:dyDescent="0.35">
      <c r="A16" s="28" t="s">
        <v>11</v>
      </c>
      <c r="B16" s="29">
        <v>1403</v>
      </c>
      <c r="C16" s="29">
        <v>1486</v>
      </c>
      <c r="D16" s="29">
        <v>1319</v>
      </c>
      <c r="E16" s="29">
        <v>1337</v>
      </c>
      <c r="F16" s="29">
        <v>1311</v>
      </c>
      <c r="G16" s="29">
        <v>1160</v>
      </c>
      <c r="H16" s="29">
        <v>1018</v>
      </c>
      <c r="I16" s="29">
        <v>1329</v>
      </c>
      <c r="J16" s="29">
        <v>1524</v>
      </c>
      <c r="K16" s="29">
        <v>2126</v>
      </c>
      <c r="L16" s="29">
        <v>1910</v>
      </c>
      <c r="M16" s="29">
        <v>1390</v>
      </c>
      <c r="N16" s="30">
        <v>17313</v>
      </c>
    </row>
    <row r="17" spans="1:14" ht="15" customHeight="1" x14ac:dyDescent="0.35">
      <c r="A17" s="28" t="s">
        <v>12</v>
      </c>
      <c r="B17" s="29">
        <v>632</v>
      </c>
      <c r="C17" s="29">
        <v>734</v>
      </c>
      <c r="D17" s="29">
        <v>933</v>
      </c>
      <c r="E17" s="29">
        <v>897</v>
      </c>
      <c r="F17" s="29">
        <v>829</v>
      </c>
      <c r="G17" s="29">
        <v>805</v>
      </c>
      <c r="H17" s="29">
        <v>650</v>
      </c>
      <c r="I17" s="29">
        <v>434</v>
      </c>
      <c r="J17" s="29">
        <v>459</v>
      </c>
      <c r="K17" s="29">
        <v>756</v>
      </c>
      <c r="L17" s="29">
        <v>910</v>
      </c>
      <c r="M17" s="29">
        <v>853</v>
      </c>
      <c r="N17" s="30">
        <v>8892</v>
      </c>
    </row>
    <row r="18" spans="1:14" ht="20.149999999999999" customHeight="1" x14ac:dyDescent="0.35">
      <c r="A18" s="25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34"/>
    </row>
    <row r="19" spans="1:14" ht="14.5" customHeight="1" x14ac:dyDescent="0.35">
      <c r="A19" s="35" t="s">
        <v>8</v>
      </c>
      <c r="B19" s="26">
        <v>4121</v>
      </c>
      <c r="C19" s="26">
        <v>5203</v>
      </c>
      <c r="D19" s="26">
        <v>7626</v>
      </c>
      <c r="E19" s="26">
        <v>6465</v>
      </c>
      <c r="F19" s="26">
        <v>8259</v>
      </c>
      <c r="G19" s="26">
        <v>10878</v>
      </c>
      <c r="H19" s="26">
        <v>10912</v>
      </c>
      <c r="I19" s="26">
        <v>9896</v>
      </c>
      <c r="J19" s="26">
        <v>10249</v>
      </c>
      <c r="K19" s="26">
        <v>12978</v>
      </c>
      <c r="L19" s="26">
        <v>17283</v>
      </c>
      <c r="M19" s="26">
        <v>18243</v>
      </c>
      <c r="N19" s="27">
        <v>122113</v>
      </c>
    </row>
    <row r="20" spans="1:14" ht="15" customHeight="1" x14ac:dyDescent="0.35">
      <c r="A20" s="28" t="s">
        <v>4</v>
      </c>
      <c r="B20" s="29">
        <v>3968</v>
      </c>
      <c r="C20" s="29">
        <v>5051</v>
      </c>
      <c r="D20" s="29">
        <v>7335</v>
      </c>
      <c r="E20" s="29">
        <v>6167</v>
      </c>
      <c r="F20" s="29">
        <v>7895</v>
      </c>
      <c r="G20" s="29">
        <v>10318</v>
      </c>
      <c r="H20" s="29">
        <v>10430</v>
      </c>
      <c r="I20" s="29">
        <v>9536</v>
      </c>
      <c r="J20" s="29">
        <v>9973</v>
      </c>
      <c r="K20" s="29">
        <v>12437</v>
      </c>
      <c r="L20" s="29">
        <v>12408</v>
      </c>
      <c r="M20" s="29">
        <v>8453</v>
      </c>
      <c r="N20" s="30">
        <v>103971</v>
      </c>
    </row>
    <row r="21" spans="1:14" ht="15" customHeight="1" x14ac:dyDescent="0.35">
      <c r="A21" s="28" t="s">
        <v>5</v>
      </c>
      <c r="B21" s="29">
        <v>130</v>
      </c>
      <c r="C21" s="29">
        <v>126</v>
      </c>
      <c r="D21" s="29">
        <v>230</v>
      </c>
      <c r="E21" s="29">
        <v>245</v>
      </c>
      <c r="F21" s="29">
        <v>302</v>
      </c>
      <c r="G21" s="29">
        <v>395</v>
      </c>
      <c r="H21" s="29">
        <v>325</v>
      </c>
      <c r="I21" s="29">
        <v>267</v>
      </c>
      <c r="J21" s="29">
        <v>264</v>
      </c>
      <c r="K21" s="29">
        <v>429</v>
      </c>
      <c r="L21" s="29">
        <v>1725</v>
      </c>
      <c r="M21" s="29">
        <v>1581</v>
      </c>
      <c r="N21" s="30">
        <v>6019</v>
      </c>
    </row>
    <row r="22" spans="1:14" ht="15" customHeight="1" x14ac:dyDescent="0.35">
      <c r="A22" s="8" t="s">
        <v>39</v>
      </c>
      <c r="B22" s="29">
        <v>23</v>
      </c>
      <c r="C22" s="29">
        <v>26</v>
      </c>
      <c r="D22" s="29">
        <v>61</v>
      </c>
      <c r="E22" s="29">
        <v>53</v>
      </c>
      <c r="F22" s="29">
        <v>62</v>
      </c>
      <c r="G22" s="29">
        <v>165</v>
      </c>
      <c r="H22" s="29">
        <v>157</v>
      </c>
      <c r="I22" s="29">
        <v>93</v>
      </c>
      <c r="J22" s="29">
        <v>12</v>
      </c>
      <c r="K22" s="29">
        <v>112</v>
      </c>
      <c r="L22" s="29">
        <v>3150</v>
      </c>
      <c r="M22" s="29">
        <v>8209</v>
      </c>
      <c r="N22" s="30">
        <v>12123</v>
      </c>
    </row>
    <row r="23" spans="1:14" ht="15" customHeight="1" x14ac:dyDescent="0.35">
      <c r="A23" s="36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40"/>
    </row>
    <row r="24" spans="1:14" ht="15" customHeight="1" x14ac:dyDescent="0.35">
      <c r="A24" s="8" t="s">
        <v>45</v>
      </c>
      <c r="B24" s="37">
        <v>3293</v>
      </c>
      <c r="C24" s="37">
        <v>4339</v>
      </c>
      <c r="D24" s="37">
        <v>6614</v>
      </c>
      <c r="E24" s="37">
        <v>5419</v>
      </c>
      <c r="F24" s="37">
        <v>7131</v>
      </c>
      <c r="G24" s="37">
        <v>8461</v>
      </c>
      <c r="H24" s="37">
        <v>7888</v>
      </c>
      <c r="I24" s="37">
        <v>7605</v>
      </c>
      <c r="J24" s="39">
        <v>7321</v>
      </c>
      <c r="K24" s="39">
        <v>7679</v>
      </c>
      <c r="L24" s="39">
        <v>6262</v>
      </c>
      <c r="M24" s="39">
        <v>5563</v>
      </c>
      <c r="N24" s="40">
        <v>77575</v>
      </c>
    </row>
    <row r="25" spans="1:14" ht="15" customHeight="1" x14ac:dyDescent="0.35">
      <c r="A25" s="8" t="s">
        <v>46</v>
      </c>
      <c r="B25" s="37">
        <v>675</v>
      </c>
      <c r="C25" s="37">
        <v>712</v>
      </c>
      <c r="D25" s="37">
        <v>721</v>
      </c>
      <c r="E25" s="37">
        <v>748</v>
      </c>
      <c r="F25" s="37">
        <v>764</v>
      </c>
      <c r="G25" s="37">
        <v>1857</v>
      </c>
      <c r="H25" s="37">
        <v>2542</v>
      </c>
      <c r="I25" s="37">
        <v>1931</v>
      </c>
      <c r="J25" s="39">
        <v>2652</v>
      </c>
      <c r="K25" s="39">
        <v>4758</v>
      </c>
      <c r="L25" s="39">
        <v>6146</v>
      </c>
      <c r="M25" s="39">
        <v>2890</v>
      </c>
      <c r="N25" s="40">
        <v>26396</v>
      </c>
    </row>
    <row r="26" spans="1:14" ht="20.149999999999999" customHeight="1" x14ac:dyDescent="0.35">
      <c r="A26" s="25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34"/>
    </row>
    <row r="27" spans="1:14" ht="14.5" customHeight="1" x14ac:dyDescent="0.35">
      <c r="A27" s="35" t="s">
        <v>8</v>
      </c>
      <c r="B27" s="26">
        <v>4056</v>
      </c>
      <c r="C27" s="26">
        <v>1534</v>
      </c>
      <c r="D27" s="26">
        <v>4027</v>
      </c>
      <c r="E27" s="26">
        <v>4907</v>
      </c>
      <c r="F27" s="26">
        <v>4456</v>
      </c>
      <c r="G27" s="26">
        <v>3992</v>
      </c>
      <c r="H27" s="26">
        <v>4736</v>
      </c>
      <c r="I27" s="26">
        <v>10393</v>
      </c>
      <c r="J27" s="26">
        <v>4041</v>
      </c>
      <c r="K27" s="26">
        <v>3417</v>
      </c>
      <c r="L27" s="26">
        <v>7715</v>
      </c>
      <c r="M27" s="26">
        <v>3321</v>
      </c>
      <c r="N27" s="27">
        <v>56595</v>
      </c>
    </row>
    <row r="28" spans="1:14" ht="15" customHeight="1" x14ac:dyDescent="0.35">
      <c r="A28" s="28" t="s">
        <v>4</v>
      </c>
      <c r="B28" s="29">
        <v>3932</v>
      </c>
      <c r="C28" s="29">
        <v>1343</v>
      </c>
      <c r="D28" s="29">
        <v>3414</v>
      </c>
      <c r="E28" s="29">
        <v>4531</v>
      </c>
      <c r="F28" s="29">
        <v>4229</v>
      </c>
      <c r="G28" s="29">
        <v>3834</v>
      </c>
      <c r="H28" s="29">
        <v>4597</v>
      </c>
      <c r="I28" s="29">
        <v>10202</v>
      </c>
      <c r="J28" s="29">
        <v>3959</v>
      </c>
      <c r="K28" s="29">
        <v>3375</v>
      </c>
      <c r="L28" s="29">
        <v>7461</v>
      </c>
      <c r="M28" s="29">
        <v>2723</v>
      </c>
      <c r="N28" s="30">
        <v>53600</v>
      </c>
    </row>
    <row r="29" spans="1:14" ht="15" customHeight="1" x14ac:dyDescent="0.35">
      <c r="A29" s="28" t="s">
        <v>5</v>
      </c>
      <c r="B29" s="29">
        <v>79</v>
      </c>
      <c r="C29" s="29">
        <v>80</v>
      </c>
      <c r="D29" s="29">
        <v>277</v>
      </c>
      <c r="E29" s="29">
        <v>227</v>
      </c>
      <c r="F29" s="29">
        <v>207</v>
      </c>
      <c r="G29" s="29">
        <v>127</v>
      </c>
      <c r="H29" s="29">
        <v>100</v>
      </c>
      <c r="I29" s="29">
        <v>163</v>
      </c>
      <c r="J29" s="29">
        <v>62</v>
      </c>
      <c r="K29" s="29">
        <v>22</v>
      </c>
      <c r="L29" s="29">
        <v>60</v>
      </c>
      <c r="M29" s="29">
        <v>27</v>
      </c>
      <c r="N29" s="30">
        <v>1431</v>
      </c>
    </row>
    <row r="30" spans="1:14" ht="15" customHeight="1" x14ac:dyDescent="0.35">
      <c r="A30" s="8" t="s">
        <v>39</v>
      </c>
      <c r="B30" s="29">
        <v>45</v>
      </c>
      <c r="C30" s="29">
        <v>111</v>
      </c>
      <c r="D30" s="29">
        <v>336</v>
      </c>
      <c r="E30" s="29">
        <v>149</v>
      </c>
      <c r="F30" s="29">
        <v>20</v>
      </c>
      <c r="G30" s="29">
        <v>31</v>
      </c>
      <c r="H30" s="29">
        <v>39</v>
      </c>
      <c r="I30" s="29">
        <v>28</v>
      </c>
      <c r="J30" s="29">
        <v>20</v>
      </c>
      <c r="K30" s="29">
        <v>20</v>
      </c>
      <c r="L30" s="29">
        <v>194</v>
      </c>
      <c r="M30" s="29">
        <v>571</v>
      </c>
      <c r="N30" s="30">
        <v>1564</v>
      </c>
    </row>
    <row r="31" spans="1:14" ht="15" customHeight="1" x14ac:dyDescent="0.35">
      <c r="A31" s="36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40"/>
    </row>
    <row r="32" spans="1:14" ht="15" customHeight="1" x14ac:dyDescent="0.35">
      <c r="A32" s="28" t="s">
        <v>16</v>
      </c>
      <c r="B32" s="29">
        <v>97</v>
      </c>
      <c r="C32" s="29">
        <v>172</v>
      </c>
      <c r="D32" s="29">
        <v>372</v>
      </c>
      <c r="E32" s="29">
        <v>349</v>
      </c>
      <c r="F32" s="29">
        <v>316</v>
      </c>
      <c r="G32" s="29">
        <v>391</v>
      </c>
      <c r="H32" s="29">
        <v>351</v>
      </c>
      <c r="I32" s="29">
        <v>462</v>
      </c>
      <c r="J32" s="29">
        <v>356</v>
      </c>
      <c r="K32" s="29">
        <v>561</v>
      </c>
      <c r="L32" s="29">
        <v>524</v>
      </c>
      <c r="M32" s="29">
        <v>310</v>
      </c>
      <c r="N32" s="30">
        <v>4261</v>
      </c>
    </row>
    <row r="33" spans="1:14" ht="15" customHeight="1" x14ac:dyDescent="0.35">
      <c r="A33" s="28" t="s">
        <v>17</v>
      </c>
      <c r="B33" s="29">
        <v>3806</v>
      </c>
      <c r="C33" s="29">
        <v>1074</v>
      </c>
      <c r="D33" s="29">
        <v>2688</v>
      </c>
      <c r="E33" s="29">
        <v>3914</v>
      </c>
      <c r="F33" s="29">
        <v>3715</v>
      </c>
      <c r="G33" s="29">
        <v>3257</v>
      </c>
      <c r="H33" s="29">
        <v>4131</v>
      </c>
      <c r="I33" s="29">
        <v>9623</v>
      </c>
      <c r="J33" s="29">
        <v>3346</v>
      </c>
      <c r="K33" s="29">
        <v>2736</v>
      </c>
      <c r="L33" s="29">
        <v>6717</v>
      </c>
      <c r="M33" s="29">
        <v>2345</v>
      </c>
      <c r="N33" s="30">
        <v>47352</v>
      </c>
    </row>
    <row r="34" spans="1:14" ht="15" customHeight="1" x14ac:dyDescent="0.35">
      <c r="A34" s="28" t="s">
        <v>41</v>
      </c>
      <c r="B34" s="29">
        <v>29</v>
      </c>
      <c r="C34" s="29">
        <v>97</v>
      </c>
      <c r="D34" s="29">
        <v>354</v>
      </c>
      <c r="E34" s="29">
        <v>268</v>
      </c>
      <c r="F34" s="29">
        <v>198</v>
      </c>
      <c r="G34" s="29">
        <v>186</v>
      </c>
      <c r="H34" s="29">
        <v>115</v>
      </c>
      <c r="I34" s="29">
        <v>117</v>
      </c>
      <c r="J34" s="29">
        <v>257</v>
      </c>
      <c r="K34" s="29">
        <v>78</v>
      </c>
      <c r="L34" s="29">
        <v>220</v>
      </c>
      <c r="M34" s="29">
        <v>68</v>
      </c>
      <c r="N34" s="30">
        <v>1987</v>
      </c>
    </row>
    <row r="35" spans="1:14" ht="20.149999999999999" customHeight="1" x14ac:dyDescent="0.35">
      <c r="A35" s="9" t="s">
        <v>40</v>
      </c>
      <c r="B35" s="42">
        <v>0</v>
      </c>
      <c r="C35" s="42">
        <v>0</v>
      </c>
      <c r="D35" s="42">
        <v>1</v>
      </c>
      <c r="E35" s="43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4">
        <v>0</v>
      </c>
      <c r="L35" s="44">
        <v>0</v>
      </c>
      <c r="M35" s="44">
        <v>0</v>
      </c>
      <c r="N35" s="34">
        <v>2</v>
      </c>
    </row>
    <row r="36" spans="1:14" ht="15" customHeight="1" x14ac:dyDescent="0.35">
      <c r="A36" s="28" t="s">
        <v>4</v>
      </c>
      <c r="B36" s="45">
        <v>0</v>
      </c>
      <c r="C36" s="45">
        <v>0</v>
      </c>
      <c r="D36" s="45">
        <v>0</v>
      </c>
      <c r="E36" s="37">
        <v>1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6">
        <v>0</v>
      </c>
      <c r="L36" s="46">
        <v>0</v>
      </c>
      <c r="M36" s="46">
        <v>0</v>
      </c>
      <c r="N36" s="40">
        <v>1</v>
      </c>
    </row>
    <row r="37" spans="1:14" ht="15" customHeight="1" x14ac:dyDescent="0.35">
      <c r="A37" s="28" t="s">
        <v>5</v>
      </c>
      <c r="B37" s="45">
        <v>0</v>
      </c>
      <c r="C37" s="45">
        <v>0</v>
      </c>
      <c r="D37" s="45">
        <v>1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6">
        <v>0</v>
      </c>
      <c r="L37" s="46">
        <v>0</v>
      </c>
      <c r="M37" s="46">
        <v>0</v>
      </c>
      <c r="N37" s="40">
        <v>1</v>
      </c>
    </row>
    <row r="38" spans="1:14" ht="15" customHeight="1" thickBot="1" x14ac:dyDescent="0.4">
      <c r="A38" s="12" t="s">
        <v>39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8" t="s">
        <v>19</v>
      </c>
      <c r="L38" s="48" t="s">
        <v>19</v>
      </c>
      <c r="M38" s="48" t="s">
        <v>19</v>
      </c>
      <c r="N38" s="49" t="s">
        <v>19</v>
      </c>
    </row>
    <row r="39" spans="1:14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5" customHeight="1" x14ac:dyDescent="0.35">
      <c r="A42" s="14" t="s">
        <v>47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5" customHeight="1" x14ac:dyDescent="0.3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5" customHeight="1" x14ac:dyDescent="0.35">
      <c r="A45" s="14" t="s">
        <v>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3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4"/>
    </row>
    <row r="48" spans="1:14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24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24"/>
    </row>
    <row r="50" spans="1:14" ht="14.5" customHeight="1" x14ac:dyDescent="0.3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24"/>
    </row>
    <row r="51" spans="1:14" ht="14.5" customHeight="1" x14ac:dyDescent="0.35">
      <c r="A51" s="14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24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24"/>
    </row>
    <row r="53" spans="1:14" ht="14.5" customHeight="1" x14ac:dyDescent="0.3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24"/>
    </row>
    <row r="54" spans="1:14" ht="14.5" customHeight="1" x14ac:dyDescent="0.35">
      <c r="A54" s="14" t="s">
        <v>42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24"/>
    </row>
    <row r="55" spans="1:14" ht="14.5" customHeight="1" x14ac:dyDescent="0.35">
      <c r="A55" s="14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24"/>
    </row>
    <row r="56" spans="1:14" ht="28.9" customHeight="1" x14ac:dyDescent="0.35">
      <c r="A56" s="1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4" ht="14.5" customHeight="1" x14ac:dyDescent="0.35">
      <c r="A57" s="14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4" ht="14.5" customHeight="1" x14ac:dyDescent="0.35">
      <c r="A58" s="14" t="s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pageMargins left="0.7" right="0.7" top="0.75" bottom="0.75" header="0.3" footer="0.3"/>
  <pageSetup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496C-133D-4C88-9AF0-E60F24AC8B8D}">
  <sheetPr>
    <tabColor theme="3"/>
    <pageSetUpPr fitToPage="1"/>
  </sheetPr>
  <dimension ref="A1:N58"/>
  <sheetViews>
    <sheetView topLeftCell="A32" zoomScaleNormal="100" workbookViewId="0">
      <selection activeCell="A51" sqref="A51"/>
    </sheetView>
  </sheetViews>
  <sheetFormatPr defaultColWidth="8.7265625" defaultRowHeight="14.5" x14ac:dyDescent="0.35"/>
  <cols>
    <col min="1" max="1" width="46.26953125" style="17" customWidth="1"/>
    <col min="2" max="14" width="10.453125" customWidth="1"/>
  </cols>
  <sheetData>
    <row r="1" spans="1:14" x14ac:dyDescent="0.35">
      <c r="A1" s="4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" thickBot="1" x14ac:dyDescent="0.4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s="18" customFormat="1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6" t="s">
        <v>3</v>
      </c>
    </row>
    <row r="5" spans="1:14" ht="20.149999999999999" customHeight="1" x14ac:dyDescent="0.35">
      <c r="A5" s="7" t="s">
        <v>3</v>
      </c>
      <c r="B5" s="26">
        <v>3099</v>
      </c>
      <c r="C5" s="26">
        <v>4346</v>
      </c>
      <c r="D5" s="26">
        <v>4708</v>
      </c>
      <c r="E5" s="26">
        <v>5248</v>
      </c>
      <c r="F5" s="26">
        <v>5418</v>
      </c>
      <c r="G5" s="26">
        <v>7909</v>
      </c>
      <c r="H5" s="26">
        <v>7124</v>
      </c>
      <c r="I5" s="26">
        <v>6147</v>
      </c>
      <c r="J5" s="26">
        <v>10330</v>
      </c>
      <c r="K5" s="26">
        <v>14194</v>
      </c>
      <c r="L5" s="26">
        <v>18346</v>
      </c>
      <c r="M5" s="26">
        <v>16023</v>
      </c>
      <c r="N5" s="51">
        <v>102892</v>
      </c>
    </row>
    <row r="6" spans="1:14" ht="15" customHeight="1" x14ac:dyDescent="0.35">
      <c r="A6" s="8" t="s">
        <v>4</v>
      </c>
      <c r="B6" s="29">
        <v>2686</v>
      </c>
      <c r="C6" s="29">
        <v>3685</v>
      </c>
      <c r="D6" s="29">
        <v>3724</v>
      </c>
      <c r="E6" s="29">
        <v>3723</v>
      </c>
      <c r="F6" s="29">
        <v>3879</v>
      </c>
      <c r="G6" s="29">
        <v>6185</v>
      </c>
      <c r="H6" s="29">
        <v>6607</v>
      </c>
      <c r="I6" s="29">
        <v>5832</v>
      </c>
      <c r="J6" s="29">
        <v>9926</v>
      </c>
      <c r="K6" s="29">
        <v>13760</v>
      </c>
      <c r="L6" s="29">
        <v>11236</v>
      </c>
      <c r="M6" s="29">
        <v>5124</v>
      </c>
      <c r="N6" s="52">
        <v>76367</v>
      </c>
    </row>
    <row r="7" spans="1:14" ht="15" customHeight="1" x14ac:dyDescent="0.35">
      <c r="A7" s="8" t="s">
        <v>5</v>
      </c>
      <c r="B7" s="29">
        <v>367</v>
      </c>
      <c r="C7" s="29">
        <v>603</v>
      </c>
      <c r="D7" s="29">
        <v>896</v>
      </c>
      <c r="E7" s="29">
        <v>1462</v>
      </c>
      <c r="F7" s="29">
        <v>1492</v>
      </c>
      <c r="G7" s="29">
        <v>1653</v>
      </c>
      <c r="H7" s="29">
        <v>417</v>
      </c>
      <c r="I7" s="29">
        <v>252</v>
      </c>
      <c r="J7" s="29">
        <v>336</v>
      </c>
      <c r="K7" s="29">
        <v>312</v>
      </c>
      <c r="L7" s="29">
        <v>258</v>
      </c>
      <c r="M7" s="29">
        <v>99</v>
      </c>
      <c r="N7" s="52">
        <v>8147</v>
      </c>
    </row>
    <row r="8" spans="1:14" ht="15" customHeight="1" x14ac:dyDescent="0.35">
      <c r="A8" s="8" t="s">
        <v>6</v>
      </c>
      <c r="B8" s="29">
        <v>46</v>
      </c>
      <c r="C8" s="29">
        <v>58</v>
      </c>
      <c r="D8" s="29">
        <v>88</v>
      </c>
      <c r="E8" s="29">
        <v>63</v>
      </c>
      <c r="F8" s="29">
        <v>47</v>
      </c>
      <c r="G8" s="29">
        <v>71</v>
      </c>
      <c r="H8" s="29">
        <v>100</v>
      </c>
      <c r="I8" s="29">
        <v>63</v>
      </c>
      <c r="J8" s="29">
        <v>68</v>
      </c>
      <c r="K8" s="29">
        <v>122</v>
      </c>
      <c r="L8" s="29">
        <v>6852</v>
      </c>
      <c r="M8" s="29">
        <v>10800</v>
      </c>
      <c r="N8" s="52">
        <v>18378</v>
      </c>
    </row>
    <row r="9" spans="1:14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53"/>
    </row>
    <row r="10" spans="1:14" ht="14.5" customHeight="1" x14ac:dyDescent="0.35">
      <c r="A10" s="10" t="s">
        <v>8</v>
      </c>
      <c r="B10" s="26">
        <v>128</v>
      </c>
      <c r="C10" s="26">
        <v>101</v>
      </c>
      <c r="D10" s="26">
        <v>117</v>
      </c>
      <c r="E10" s="26">
        <v>146</v>
      </c>
      <c r="F10" s="26">
        <v>160</v>
      </c>
      <c r="G10" s="26">
        <v>107</v>
      </c>
      <c r="H10" s="26">
        <v>93</v>
      </c>
      <c r="I10" s="26">
        <v>91</v>
      </c>
      <c r="J10" s="26">
        <v>101</v>
      </c>
      <c r="K10" s="26">
        <v>157</v>
      </c>
      <c r="L10" s="26">
        <v>216</v>
      </c>
      <c r="M10" s="26">
        <v>178</v>
      </c>
      <c r="N10" s="51">
        <v>1595</v>
      </c>
    </row>
    <row r="11" spans="1:14" ht="15" customHeight="1" x14ac:dyDescent="0.35">
      <c r="A11" s="8" t="s">
        <v>4</v>
      </c>
      <c r="B11" s="29">
        <v>99</v>
      </c>
      <c r="C11" s="29">
        <v>81</v>
      </c>
      <c r="D11" s="29">
        <v>93</v>
      </c>
      <c r="E11" s="29">
        <v>114</v>
      </c>
      <c r="F11" s="29">
        <v>138</v>
      </c>
      <c r="G11" s="29">
        <v>90</v>
      </c>
      <c r="H11" s="29">
        <v>79</v>
      </c>
      <c r="I11" s="29">
        <v>81</v>
      </c>
      <c r="J11" s="29">
        <v>83</v>
      </c>
      <c r="K11" s="29">
        <v>140</v>
      </c>
      <c r="L11" s="29">
        <v>117</v>
      </c>
      <c r="M11" s="29">
        <v>65</v>
      </c>
      <c r="N11" s="52">
        <v>1180</v>
      </c>
    </row>
    <row r="12" spans="1:14" ht="15" customHeight="1" x14ac:dyDescent="0.35">
      <c r="A12" s="8" t="s">
        <v>5</v>
      </c>
      <c r="B12" s="29">
        <v>29</v>
      </c>
      <c r="C12" s="29">
        <v>20</v>
      </c>
      <c r="D12" s="29">
        <v>23</v>
      </c>
      <c r="E12" s="29">
        <v>32</v>
      </c>
      <c r="F12" s="29">
        <v>22</v>
      </c>
      <c r="G12" s="29">
        <v>17</v>
      </c>
      <c r="H12" s="29">
        <v>13</v>
      </c>
      <c r="I12" s="29">
        <v>9</v>
      </c>
      <c r="J12" s="29">
        <v>16</v>
      </c>
      <c r="K12" s="29">
        <v>14</v>
      </c>
      <c r="L12" s="29">
        <v>28</v>
      </c>
      <c r="M12" s="29">
        <v>10</v>
      </c>
      <c r="N12" s="52">
        <v>233</v>
      </c>
    </row>
    <row r="13" spans="1:14" ht="15" customHeight="1" x14ac:dyDescent="0.35">
      <c r="A13" s="8" t="s">
        <v>6</v>
      </c>
      <c r="B13" s="29">
        <v>0</v>
      </c>
      <c r="C13" s="29">
        <v>0</v>
      </c>
      <c r="D13" s="29">
        <v>1</v>
      </c>
      <c r="E13" s="29">
        <v>0</v>
      </c>
      <c r="F13" s="29">
        <v>0</v>
      </c>
      <c r="G13" s="29">
        <v>0</v>
      </c>
      <c r="H13" s="29">
        <v>1</v>
      </c>
      <c r="I13" s="29">
        <v>1</v>
      </c>
      <c r="J13" s="29">
        <v>2</v>
      </c>
      <c r="K13" s="29">
        <v>3</v>
      </c>
      <c r="L13" s="29">
        <v>71</v>
      </c>
      <c r="M13" s="29">
        <v>103</v>
      </c>
      <c r="N13" s="52">
        <v>182</v>
      </c>
    </row>
    <row r="14" spans="1:14" ht="15" customHeight="1" x14ac:dyDescent="0.35">
      <c r="A14" s="1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56"/>
    </row>
    <row r="15" spans="1:14" ht="15" customHeight="1" x14ac:dyDescent="0.35">
      <c r="A15" s="8" t="s">
        <v>10</v>
      </c>
      <c r="B15" s="29">
        <v>23</v>
      </c>
      <c r="C15" s="29">
        <v>11</v>
      </c>
      <c r="D15" s="29">
        <v>12</v>
      </c>
      <c r="E15" s="29">
        <v>21</v>
      </c>
      <c r="F15" s="29">
        <v>16</v>
      </c>
      <c r="G15" s="29">
        <v>12</v>
      </c>
      <c r="H15" s="29">
        <v>8</v>
      </c>
      <c r="I15" s="29">
        <v>16</v>
      </c>
      <c r="J15" s="29">
        <v>18</v>
      </c>
      <c r="K15" s="29">
        <v>23</v>
      </c>
      <c r="L15" s="29">
        <v>24</v>
      </c>
      <c r="M15" s="29">
        <v>7</v>
      </c>
      <c r="N15" s="52">
        <v>191</v>
      </c>
    </row>
    <row r="16" spans="1:14" ht="15" customHeight="1" x14ac:dyDescent="0.35">
      <c r="A16" s="8" t="s">
        <v>11</v>
      </c>
      <c r="B16" s="29">
        <v>3</v>
      </c>
      <c r="C16" s="29">
        <v>5</v>
      </c>
      <c r="D16" s="29">
        <v>4</v>
      </c>
      <c r="E16" s="29">
        <v>7</v>
      </c>
      <c r="F16" s="29">
        <v>0</v>
      </c>
      <c r="G16" s="29">
        <v>6</v>
      </c>
      <c r="H16" s="29">
        <v>5</v>
      </c>
      <c r="I16" s="29">
        <v>2</v>
      </c>
      <c r="J16" s="29">
        <v>4</v>
      </c>
      <c r="K16" s="29">
        <v>5</v>
      </c>
      <c r="L16" s="29">
        <v>7</v>
      </c>
      <c r="M16" s="29">
        <v>6</v>
      </c>
      <c r="N16" s="52">
        <v>54</v>
      </c>
    </row>
    <row r="17" spans="1:14" ht="15" customHeight="1" x14ac:dyDescent="0.35">
      <c r="A17" s="8" t="s">
        <v>12</v>
      </c>
      <c r="B17" s="29">
        <v>73</v>
      </c>
      <c r="C17" s="29">
        <v>65</v>
      </c>
      <c r="D17" s="29">
        <v>77</v>
      </c>
      <c r="E17" s="29">
        <v>86</v>
      </c>
      <c r="F17" s="29">
        <v>122</v>
      </c>
      <c r="G17" s="29">
        <v>72</v>
      </c>
      <c r="H17" s="29">
        <v>66</v>
      </c>
      <c r="I17" s="29">
        <v>63</v>
      </c>
      <c r="J17" s="29">
        <v>61</v>
      </c>
      <c r="K17" s="29">
        <v>112</v>
      </c>
      <c r="L17" s="29">
        <v>86</v>
      </c>
      <c r="M17" s="29">
        <v>52</v>
      </c>
      <c r="N17" s="52">
        <v>935</v>
      </c>
    </row>
    <row r="18" spans="1:14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53"/>
    </row>
    <row r="19" spans="1:14" ht="14.5" customHeight="1" x14ac:dyDescent="0.35">
      <c r="A19" s="10" t="s">
        <v>8</v>
      </c>
      <c r="B19" s="26">
        <v>1403</v>
      </c>
      <c r="C19" s="26">
        <v>1117</v>
      </c>
      <c r="D19" s="26">
        <v>1411</v>
      </c>
      <c r="E19" s="26">
        <v>1046</v>
      </c>
      <c r="F19" s="26">
        <v>781</v>
      </c>
      <c r="G19" s="26">
        <v>591</v>
      </c>
      <c r="H19" s="26">
        <v>409</v>
      </c>
      <c r="I19" s="26">
        <v>373</v>
      </c>
      <c r="J19" s="26">
        <v>380</v>
      </c>
      <c r="K19" s="26">
        <v>287</v>
      </c>
      <c r="L19" s="26">
        <v>358</v>
      </c>
      <c r="M19" s="26">
        <v>474</v>
      </c>
      <c r="N19" s="51">
        <v>8630</v>
      </c>
    </row>
    <row r="20" spans="1:14" ht="15" customHeight="1" x14ac:dyDescent="0.35">
      <c r="A20" s="8" t="s">
        <v>4</v>
      </c>
      <c r="B20" s="29">
        <v>1178</v>
      </c>
      <c r="C20" s="29">
        <v>943</v>
      </c>
      <c r="D20" s="29">
        <v>1109</v>
      </c>
      <c r="E20" s="29">
        <v>824</v>
      </c>
      <c r="F20" s="29">
        <v>632</v>
      </c>
      <c r="G20" s="29">
        <v>451</v>
      </c>
      <c r="H20" s="29">
        <v>377</v>
      </c>
      <c r="I20" s="29">
        <v>344</v>
      </c>
      <c r="J20" s="29">
        <v>355</v>
      </c>
      <c r="K20" s="29">
        <v>231</v>
      </c>
      <c r="L20" s="29">
        <v>233</v>
      </c>
      <c r="M20" s="29">
        <v>222</v>
      </c>
      <c r="N20" s="52">
        <v>6899</v>
      </c>
    </row>
    <row r="21" spans="1:14" ht="15" customHeight="1" x14ac:dyDescent="0.35">
      <c r="A21" s="8" t="s">
        <v>5</v>
      </c>
      <c r="B21" s="29">
        <v>212</v>
      </c>
      <c r="C21" s="29">
        <v>171</v>
      </c>
      <c r="D21" s="29">
        <v>280</v>
      </c>
      <c r="E21" s="29">
        <v>209</v>
      </c>
      <c r="F21" s="29">
        <v>142</v>
      </c>
      <c r="G21" s="29">
        <v>137</v>
      </c>
      <c r="H21" s="29">
        <v>31</v>
      </c>
      <c r="I21" s="29">
        <v>28</v>
      </c>
      <c r="J21" s="29">
        <v>18</v>
      </c>
      <c r="K21" s="29">
        <v>46</v>
      </c>
      <c r="L21" s="29">
        <v>66</v>
      </c>
      <c r="M21" s="29">
        <v>36</v>
      </c>
      <c r="N21" s="52">
        <v>1376</v>
      </c>
    </row>
    <row r="22" spans="1:14" ht="15" customHeight="1" x14ac:dyDescent="0.35">
      <c r="A22" s="8" t="s">
        <v>6</v>
      </c>
      <c r="B22" s="29">
        <v>13</v>
      </c>
      <c r="C22" s="29">
        <v>3</v>
      </c>
      <c r="D22" s="29">
        <v>22</v>
      </c>
      <c r="E22" s="29">
        <v>13</v>
      </c>
      <c r="F22" s="29">
        <v>7</v>
      </c>
      <c r="G22" s="29">
        <v>3</v>
      </c>
      <c r="H22" s="29">
        <v>1</v>
      </c>
      <c r="I22" s="29">
        <v>1</v>
      </c>
      <c r="J22" s="29">
        <v>7</v>
      </c>
      <c r="K22" s="29">
        <v>10</v>
      </c>
      <c r="L22" s="29">
        <v>59</v>
      </c>
      <c r="M22" s="29">
        <v>216</v>
      </c>
      <c r="N22" s="52">
        <v>355</v>
      </c>
    </row>
    <row r="23" spans="1:14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56"/>
    </row>
    <row r="24" spans="1:14" ht="15" customHeight="1" x14ac:dyDescent="0.35">
      <c r="A24" s="8" t="s">
        <v>14</v>
      </c>
      <c r="B24" s="37">
        <v>1124</v>
      </c>
      <c r="C24" s="37">
        <v>899</v>
      </c>
      <c r="D24" s="37">
        <v>1066</v>
      </c>
      <c r="E24" s="37">
        <v>787</v>
      </c>
      <c r="F24" s="37">
        <v>598</v>
      </c>
      <c r="G24" s="37">
        <v>408</v>
      </c>
      <c r="H24" s="37">
        <v>344</v>
      </c>
      <c r="I24" s="37">
        <v>306</v>
      </c>
      <c r="J24" s="39">
        <v>301</v>
      </c>
      <c r="K24" s="39">
        <v>175</v>
      </c>
      <c r="L24" s="39">
        <v>168</v>
      </c>
      <c r="M24" s="39">
        <v>197</v>
      </c>
      <c r="N24" s="56">
        <v>6373</v>
      </c>
    </row>
    <row r="25" spans="1:14" ht="15" customHeight="1" x14ac:dyDescent="0.35">
      <c r="A25" s="8" t="s">
        <v>43</v>
      </c>
      <c r="B25" s="37">
        <v>54</v>
      </c>
      <c r="C25" s="37">
        <v>44</v>
      </c>
      <c r="D25" s="37">
        <v>43</v>
      </c>
      <c r="E25" s="37">
        <v>37</v>
      </c>
      <c r="F25" s="37">
        <v>34</v>
      </c>
      <c r="G25" s="37">
        <v>43</v>
      </c>
      <c r="H25" s="37">
        <v>33</v>
      </c>
      <c r="I25" s="37">
        <v>38</v>
      </c>
      <c r="J25" s="39">
        <v>54</v>
      </c>
      <c r="K25" s="39">
        <v>56</v>
      </c>
      <c r="L25" s="39">
        <v>65</v>
      </c>
      <c r="M25" s="39">
        <v>25</v>
      </c>
      <c r="N25" s="56">
        <v>526</v>
      </c>
    </row>
    <row r="26" spans="1:14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53"/>
    </row>
    <row r="27" spans="1:14" ht="14.5" customHeight="1" x14ac:dyDescent="0.35">
      <c r="A27" s="10" t="s">
        <v>8</v>
      </c>
      <c r="B27" s="26">
        <v>1568</v>
      </c>
      <c r="C27" s="26">
        <v>3128</v>
      </c>
      <c r="D27" s="26">
        <v>3180</v>
      </c>
      <c r="E27" s="26">
        <v>4056</v>
      </c>
      <c r="F27" s="26">
        <v>4476</v>
      </c>
      <c r="G27" s="26">
        <v>7211</v>
      </c>
      <c r="H27" s="26">
        <v>6622</v>
      </c>
      <c r="I27" s="26">
        <v>5683</v>
      </c>
      <c r="J27" s="26">
        <v>9849</v>
      </c>
      <c r="K27" s="26">
        <v>13750</v>
      </c>
      <c r="L27" s="26">
        <v>17772</v>
      </c>
      <c r="M27" s="26">
        <v>15371</v>
      </c>
      <c r="N27" s="51">
        <v>92666</v>
      </c>
    </row>
    <row r="28" spans="1:14" ht="15" customHeight="1" x14ac:dyDescent="0.35">
      <c r="A28" s="8" t="s">
        <v>4</v>
      </c>
      <c r="B28" s="29">
        <v>1409</v>
      </c>
      <c r="C28" s="29">
        <v>2661</v>
      </c>
      <c r="D28" s="29">
        <v>2522</v>
      </c>
      <c r="E28" s="29">
        <v>2785</v>
      </c>
      <c r="F28" s="29">
        <v>3108</v>
      </c>
      <c r="G28" s="29">
        <v>5644</v>
      </c>
      <c r="H28" s="29">
        <v>6151</v>
      </c>
      <c r="I28" s="29">
        <v>5407</v>
      </c>
      <c r="J28" s="29">
        <v>9488</v>
      </c>
      <c r="K28" s="29">
        <v>13389</v>
      </c>
      <c r="L28" s="29">
        <v>10886</v>
      </c>
      <c r="M28" s="29">
        <v>4837</v>
      </c>
      <c r="N28" s="52">
        <v>68287</v>
      </c>
    </row>
    <row r="29" spans="1:14" ht="15" customHeight="1" x14ac:dyDescent="0.35">
      <c r="A29" s="8" t="s">
        <v>5</v>
      </c>
      <c r="B29" s="29">
        <v>126</v>
      </c>
      <c r="C29" s="29">
        <v>412</v>
      </c>
      <c r="D29" s="29">
        <v>593</v>
      </c>
      <c r="E29" s="29">
        <v>1221</v>
      </c>
      <c r="F29" s="29">
        <v>1328</v>
      </c>
      <c r="G29" s="29">
        <v>1499</v>
      </c>
      <c r="H29" s="29">
        <v>373</v>
      </c>
      <c r="I29" s="29">
        <v>215</v>
      </c>
      <c r="J29" s="29">
        <v>302</v>
      </c>
      <c r="K29" s="29">
        <v>252</v>
      </c>
      <c r="L29" s="29">
        <v>164</v>
      </c>
      <c r="M29" s="29">
        <v>53</v>
      </c>
      <c r="N29" s="52">
        <v>6538</v>
      </c>
    </row>
    <row r="30" spans="1:14" ht="15" customHeight="1" x14ac:dyDescent="0.35">
      <c r="A30" s="8" t="s">
        <v>6</v>
      </c>
      <c r="B30" s="29">
        <v>33</v>
      </c>
      <c r="C30" s="29">
        <v>55</v>
      </c>
      <c r="D30" s="29">
        <v>65</v>
      </c>
      <c r="E30" s="29">
        <v>50</v>
      </c>
      <c r="F30" s="29">
        <v>40</v>
      </c>
      <c r="G30" s="29">
        <v>68</v>
      </c>
      <c r="H30" s="29">
        <v>98</v>
      </c>
      <c r="I30" s="29">
        <v>61</v>
      </c>
      <c r="J30" s="29">
        <v>59</v>
      </c>
      <c r="K30" s="29">
        <v>109</v>
      </c>
      <c r="L30" s="29">
        <v>6722</v>
      </c>
      <c r="M30" s="29">
        <v>10481</v>
      </c>
      <c r="N30" s="52">
        <v>17841</v>
      </c>
    </row>
    <row r="31" spans="1:14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56"/>
    </row>
    <row r="32" spans="1:14" ht="15" customHeight="1" x14ac:dyDescent="0.35">
      <c r="A32" s="8" t="s">
        <v>16</v>
      </c>
      <c r="B32" s="29">
        <v>917</v>
      </c>
      <c r="C32" s="29">
        <v>1932</v>
      </c>
      <c r="D32" s="29">
        <v>1480</v>
      </c>
      <c r="E32" s="29">
        <v>1985</v>
      </c>
      <c r="F32" s="29">
        <v>2309</v>
      </c>
      <c r="G32" s="29">
        <v>4570</v>
      </c>
      <c r="H32" s="29">
        <v>4898</v>
      </c>
      <c r="I32" s="29">
        <v>4257</v>
      </c>
      <c r="J32" s="29">
        <v>7209</v>
      </c>
      <c r="K32" s="29">
        <v>11099</v>
      </c>
      <c r="L32" s="29">
        <v>8220</v>
      </c>
      <c r="M32" s="29">
        <v>2579</v>
      </c>
      <c r="N32" s="52">
        <v>51455</v>
      </c>
    </row>
    <row r="33" spans="1:14" ht="15" customHeight="1" x14ac:dyDescent="0.35">
      <c r="A33" s="8" t="s">
        <v>17</v>
      </c>
      <c r="B33" s="29">
        <v>451</v>
      </c>
      <c r="C33" s="29">
        <v>667</v>
      </c>
      <c r="D33" s="29">
        <v>791</v>
      </c>
      <c r="E33" s="29">
        <v>539</v>
      </c>
      <c r="F33" s="29">
        <v>577</v>
      </c>
      <c r="G33" s="29">
        <v>627</v>
      </c>
      <c r="H33" s="29">
        <v>626</v>
      </c>
      <c r="I33" s="29">
        <v>604</v>
      </c>
      <c r="J33" s="29">
        <v>1140</v>
      </c>
      <c r="K33" s="29">
        <v>1260</v>
      </c>
      <c r="L33" s="29">
        <v>1271</v>
      </c>
      <c r="M33" s="29">
        <v>1783</v>
      </c>
      <c r="N33" s="52">
        <v>10336</v>
      </c>
    </row>
    <row r="34" spans="1:14" ht="15" customHeight="1" x14ac:dyDescent="0.35">
      <c r="A34" s="8" t="s">
        <v>41</v>
      </c>
      <c r="B34" s="29">
        <v>41</v>
      </c>
      <c r="C34" s="29">
        <v>62</v>
      </c>
      <c r="D34" s="29">
        <v>251</v>
      </c>
      <c r="E34" s="29">
        <v>261</v>
      </c>
      <c r="F34" s="29">
        <v>222</v>
      </c>
      <c r="G34" s="29">
        <v>447</v>
      </c>
      <c r="H34" s="29">
        <v>627</v>
      </c>
      <c r="I34" s="29">
        <v>546</v>
      </c>
      <c r="J34" s="29">
        <v>1139</v>
      </c>
      <c r="K34" s="29">
        <v>1030</v>
      </c>
      <c r="L34" s="29">
        <v>1395</v>
      </c>
      <c r="M34" s="29">
        <v>475</v>
      </c>
      <c r="N34" s="52">
        <v>6496</v>
      </c>
    </row>
    <row r="35" spans="1:14" ht="20.149999999999999" customHeight="1" x14ac:dyDescent="0.35">
      <c r="A35" s="9" t="s">
        <v>18</v>
      </c>
      <c r="B35" s="42">
        <v>0</v>
      </c>
      <c r="C35" s="42">
        <v>0</v>
      </c>
      <c r="D35" s="42">
        <v>0</v>
      </c>
      <c r="E35" s="42">
        <v>0</v>
      </c>
      <c r="F35" s="42">
        <v>1</v>
      </c>
      <c r="G35" s="42">
        <v>0</v>
      </c>
      <c r="H35" s="42">
        <v>0</v>
      </c>
      <c r="I35" s="42">
        <v>0</v>
      </c>
      <c r="J35" s="42">
        <v>0</v>
      </c>
      <c r="K35" s="44">
        <v>0</v>
      </c>
      <c r="L35" s="44">
        <v>0</v>
      </c>
      <c r="M35" s="44">
        <v>0</v>
      </c>
      <c r="N35" s="53">
        <v>1</v>
      </c>
    </row>
    <row r="36" spans="1:14" ht="15" customHeight="1" x14ac:dyDescent="0.35">
      <c r="A36" s="8" t="s">
        <v>4</v>
      </c>
      <c r="B36" s="45">
        <v>0</v>
      </c>
      <c r="C36" s="45">
        <v>0</v>
      </c>
      <c r="D36" s="45">
        <v>0</v>
      </c>
      <c r="E36" s="45">
        <v>0</v>
      </c>
      <c r="F36" s="45">
        <v>1</v>
      </c>
      <c r="G36" s="45">
        <v>0</v>
      </c>
      <c r="H36" s="45">
        <v>0</v>
      </c>
      <c r="I36" s="45">
        <v>0</v>
      </c>
      <c r="J36" s="45">
        <v>0</v>
      </c>
      <c r="K36" s="46">
        <v>0</v>
      </c>
      <c r="L36" s="46">
        <v>0</v>
      </c>
      <c r="M36" s="46">
        <v>0</v>
      </c>
      <c r="N36" s="56">
        <v>1</v>
      </c>
    </row>
    <row r="37" spans="1:14" ht="15" customHeight="1" x14ac:dyDescent="0.35">
      <c r="A37" s="8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6" t="s">
        <v>19</v>
      </c>
      <c r="L37" s="46" t="s">
        <v>19</v>
      </c>
      <c r="M37" s="46" t="s">
        <v>19</v>
      </c>
      <c r="N37" s="40" t="s">
        <v>19</v>
      </c>
    </row>
    <row r="38" spans="1:14" ht="15" customHeight="1" thickBot="1" x14ac:dyDescent="0.4">
      <c r="A38" s="12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8" t="s">
        <v>19</v>
      </c>
      <c r="L38" s="48" t="s">
        <v>19</v>
      </c>
      <c r="M38" s="48" t="s">
        <v>19</v>
      </c>
      <c r="N38" s="49" t="s">
        <v>19</v>
      </c>
    </row>
    <row r="39" spans="1:14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5" customHeight="1" x14ac:dyDescent="0.35">
      <c r="A42" s="14" t="s">
        <v>48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5" customHeight="1" x14ac:dyDescent="0.3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5" customHeight="1" x14ac:dyDescent="0.35">
      <c r="A45" s="14" t="s">
        <v>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3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5" customHeight="1" x14ac:dyDescent="0.3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5" customHeight="1" x14ac:dyDescent="0.35">
      <c r="A51" s="14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5" customHeight="1" x14ac:dyDescent="0.3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5" customHeight="1" x14ac:dyDescent="0.35">
      <c r="A54" s="14" t="s">
        <v>42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5" customHeight="1" x14ac:dyDescent="0.35">
      <c r="A55" s="14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8.9" customHeight="1" x14ac:dyDescent="0.35">
      <c r="A56" s="1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5" customHeight="1" x14ac:dyDescent="0.35">
      <c r="A57" s="14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5" customHeight="1" x14ac:dyDescent="0.35">
      <c r="A58" s="14" t="s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pageMargins left="0.7" right="0.7" top="0.75" bottom="0.75" header="0.3" footer="0.3"/>
  <pageSetup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5AD9-A4D7-473A-8BC5-A01C8CABCD65}">
  <sheetPr>
    <tabColor theme="3"/>
    <pageSetUpPr fitToPage="1"/>
  </sheetPr>
  <dimension ref="A1:N58"/>
  <sheetViews>
    <sheetView zoomScaleNormal="100" workbookViewId="0">
      <selection activeCell="A51" sqref="A51"/>
    </sheetView>
  </sheetViews>
  <sheetFormatPr defaultColWidth="8.7265625" defaultRowHeight="14.5" x14ac:dyDescent="0.35"/>
  <cols>
    <col min="1" max="1" width="46.26953125" style="17" customWidth="1"/>
    <col min="2" max="14" width="10.453125" customWidth="1"/>
  </cols>
  <sheetData>
    <row r="1" spans="1:14" x14ac:dyDescent="0.35">
      <c r="A1" s="4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" thickBot="1" x14ac:dyDescent="0.4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ht="15" customHeight="1" x14ac:dyDescent="0.35">
      <c r="A4" s="61" t="s">
        <v>2</v>
      </c>
      <c r="B4" s="67">
        <v>2014</v>
      </c>
      <c r="C4" s="67">
        <v>2015</v>
      </c>
      <c r="D4" s="67">
        <v>2016</v>
      </c>
      <c r="E4" s="67">
        <v>2017</v>
      </c>
      <c r="F4" s="67">
        <v>2018</v>
      </c>
      <c r="G4" s="67">
        <v>2019</v>
      </c>
      <c r="H4" s="67">
        <v>2020</v>
      </c>
      <c r="I4" s="67">
        <v>2021</v>
      </c>
      <c r="J4" s="67">
        <v>2022</v>
      </c>
      <c r="K4" s="67">
        <v>2023</v>
      </c>
      <c r="L4" s="62">
        <v>2024</v>
      </c>
      <c r="M4" s="62">
        <v>2025</v>
      </c>
      <c r="N4" s="66" t="s">
        <v>3</v>
      </c>
    </row>
    <row r="5" spans="1:14" s="19" customFormat="1" ht="20.149999999999999" customHeight="1" x14ac:dyDescent="0.35">
      <c r="A5" s="7" t="s">
        <v>3</v>
      </c>
      <c r="B5" s="26">
        <v>1014</v>
      </c>
      <c r="C5" s="26">
        <v>1323</v>
      </c>
      <c r="D5" s="26">
        <v>2059</v>
      </c>
      <c r="E5" s="26">
        <v>2640</v>
      </c>
      <c r="F5" s="26">
        <v>3416</v>
      </c>
      <c r="G5" s="26">
        <v>4271</v>
      </c>
      <c r="H5" s="26">
        <v>4583</v>
      </c>
      <c r="I5" s="26">
        <v>5438</v>
      </c>
      <c r="J5" s="26">
        <v>7179</v>
      </c>
      <c r="K5" s="26">
        <v>10694</v>
      </c>
      <c r="L5" s="26">
        <v>12079</v>
      </c>
      <c r="M5" s="26">
        <v>12376</v>
      </c>
      <c r="N5" s="51">
        <v>67072</v>
      </c>
    </row>
    <row r="6" spans="1:14" ht="15" customHeight="1" x14ac:dyDescent="0.35">
      <c r="A6" s="8" t="s">
        <v>4</v>
      </c>
      <c r="B6" s="29">
        <v>893</v>
      </c>
      <c r="C6" s="29">
        <v>1202</v>
      </c>
      <c r="D6" s="29">
        <v>1871</v>
      </c>
      <c r="E6" s="29">
        <v>2322</v>
      </c>
      <c r="F6" s="29">
        <v>2728</v>
      </c>
      <c r="G6" s="29">
        <v>3303</v>
      </c>
      <c r="H6" s="29">
        <v>3618</v>
      </c>
      <c r="I6" s="29">
        <v>4350</v>
      </c>
      <c r="J6" s="29">
        <v>5480</v>
      </c>
      <c r="K6" s="29">
        <v>6933</v>
      </c>
      <c r="L6" s="29">
        <v>4932</v>
      </c>
      <c r="M6" s="29">
        <v>2848</v>
      </c>
      <c r="N6" s="52">
        <v>40480</v>
      </c>
    </row>
    <row r="7" spans="1:14" ht="15" customHeight="1" x14ac:dyDescent="0.35">
      <c r="A7" s="8" t="s">
        <v>5</v>
      </c>
      <c r="B7" s="29">
        <v>111</v>
      </c>
      <c r="C7" s="29">
        <v>110</v>
      </c>
      <c r="D7" s="29">
        <v>179</v>
      </c>
      <c r="E7" s="29">
        <v>299</v>
      </c>
      <c r="F7" s="29">
        <v>676</v>
      </c>
      <c r="G7" s="29">
        <v>955</v>
      </c>
      <c r="H7" s="29">
        <v>940</v>
      </c>
      <c r="I7" s="29">
        <v>1041</v>
      </c>
      <c r="J7" s="29">
        <v>1607</v>
      </c>
      <c r="K7" s="29">
        <v>3303</v>
      </c>
      <c r="L7" s="29">
        <v>3383</v>
      </c>
      <c r="M7" s="29">
        <v>821</v>
      </c>
      <c r="N7" s="52">
        <v>13425</v>
      </c>
    </row>
    <row r="8" spans="1:14" ht="15" customHeight="1" x14ac:dyDescent="0.35">
      <c r="A8" s="8" t="s">
        <v>6</v>
      </c>
      <c r="B8" s="29">
        <v>10</v>
      </c>
      <c r="C8" s="29">
        <v>11</v>
      </c>
      <c r="D8" s="29">
        <v>9</v>
      </c>
      <c r="E8" s="29">
        <v>19</v>
      </c>
      <c r="F8" s="29">
        <v>12</v>
      </c>
      <c r="G8" s="29">
        <v>13</v>
      </c>
      <c r="H8" s="29">
        <v>25</v>
      </c>
      <c r="I8" s="29">
        <v>47</v>
      </c>
      <c r="J8" s="29">
        <v>92</v>
      </c>
      <c r="K8" s="29">
        <v>458</v>
      </c>
      <c r="L8" s="29">
        <v>3764</v>
      </c>
      <c r="M8" s="29">
        <v>8707</v>
      </c>
      <c r="N8" s="52">
        <v>13167</v>
      </c>
    </row>
    <row r="9" spans="1:14" s="19" customFormat="1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53"/>
    </row>
    <row r="10" spans="1:14" ht="15" customHeight="1" x14ac:dyDescent="0.35">
      <c r="A10" s="10" t="s">
        <v>8</v>
      </c>
      <c r="B10" s="26">
        <v>505</v>
      </c>
      <c r="C10" s="26">
        <v>759</v>
      </c>
      <c r="D10" s="26">
        <v>1044</v>
      </c>
      <c r="E10" s="26">
        <v>1356</v>
      </c>
      <c r="F10" s="26">
        <v>1315</v>
      </c>
      <c r="G10" s="26">
        <v>1023</v>
      </c>
      <c r="H10" s="26">
        <v>1082</v>
      </c>
      <c r="I10" s="26">
        <v>1063</v>
      </c>
      <c r="J10" s="26">
        <v>1178</v>
      </c>
      <c r="K10" s="26">
        <v>1714</v>
      </c>
      <c r="L10" s="26">
        <v>2058</v>
      </c>
      <c r="M10" s="26">
        <v>2983</v>
      </c>
      <c r="N10" s="51">
        <v>16080</v>
      </c>
    </row>
    <row r="11" spans="1:14" ht="15" customHeight="1" x14ac:dyDescent="0.35">
      <c r="A11" s="8" t="s">
        <v>4</v>
      </c>
      <c r="B11" s="29">
        <v>430</v>
      </c>
      <c r="C11" s="29">
        <v>684</v>
      </c>
      <c r="D11" s="29">
        <v>915</v>
      </c>
      <c r="E11" s="29">
        <v>1149</v>
      </c>
      <c r="F11" s="29">
        <v>1057</v>
      </c>
      <c r="G11" s="29">
        <v>849</v>
      </c>
      <c r="H11" s="29">
        <v>906</v>
      </c>
      <c r="I11" s="29">
        <v>892</v>
      </c>
      <c r="J11" s="29">
        <v>1000</v>
      </c>
      <c r="K11" s="29">
        <v>1343</v>
      </c>
      <c r="L11" s="29">
        <v>1185</v>
      </c>
      <c r="M11" s="29">
        <v>964</v>
      </c>
      <c r="N11" s="52">
        <v>11374</v>
      </c>
    </row>
    <row r="12" spans="1:14" ht="15" customHeight="1" x14ac:dyDescent="0.35">
      <c r="A12" s="8" t="s">
        <v>5</v>
      </c>
      <c r="B12" s="29">
        <v>70</v>
      </c>
      <c r="C12" s="29">
        <v>69</v>
      </c>
      <c r="D12" s="29">
        <v>124</v>
      </c>
      <c r="E12" s="29">
        <v>201</v>
      </c>
      <c r="F12" s="29">
        <v>253</v>
      </c>
      <c r="G12" s="29">
        <v>171</v>
      </c>
      <c r="H12" s="29">
        <v>172</v>
      </c>
      <c r="I12" s="29">
        <v>165</v>
      </c>
      <c r="J12" s="29">
        <v>165</v>
      </c>
      <c r="K12" s="29">
        <v>286</v>
      </c>
      <c r="L12" s="29">
        <v>324</v>
      </c>
      <c r="M12" s="29">
        <v>276</v>
      </c>
      <c r="N12" s="52">
        <v>2276</v>
      </c>
    </row>
    <row r="13" spans="1:14" ht="15" customHeight="1" x14ac:dyDescent="0.35">
      <c r="A13" s="8" t="s">
        <v>6</v>
      </c>
      <c r="B13" s="29">
        <v>5</v>
      </c>
      <c r="C13" s="29">
        <v>6</v>
      </c>
      <c r="D13" s="29">
        <v>5</v>
      </c>
      <c r="E13" s="29">
        <v>6</v>
      </c>
      <c r="F13" s="29">
        <v>5</v>
      </c>
      <c r="G13" s="29">
        <v>3</v>
      </c>
      <c r="H13" s="29">
        <v>4</v>
      </c>
      <c r="I13" s="29">
        <v>6</v>
      </c>
      <c r="J13" s="29">
        <v>13</v>
      </c>
      <c r="K13" s="29">
        <v>85</v>
      </c>
      <c r="L13" s="29">
        <v>549</v>
      </c>
      <c r="M13" s="29">
        <v>1743</v>
      </c>
      <c r="N13" s="52">
        <v>2430</v>
      </c>
    </row>
    <row r="14" spans="1:14" ht="15" customHeight="1" x14ac:dyDescent="0.35">
      <c r="A14" s="11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56"/>
    </row>
    <row r="15" spans="1:14" ht="15" customHeight="1" x14ac:dyDescent="0.35">
      <c r="A15" s="8" t="s">
        <v>10</v>
      </c>
      <c r="B15" s="29">
        <v>98</v>
      </c>
      <c r="C15" s="29">
        <v>151</v>
      </c>
      <c r="D15" s="29">
        <v>226</v>
      </c>
      <c r="E15" s="29">
        <v>325</v>
      </c>
      <c r="F15" s="29">
        <v>351</v>
      </c>
      <c r="G15" s="29">
        <v>194</v>
      </c>
      <c r="H15" s="29">
        <v>219</v>
      </c>
      <c r="I15" s="29">
        <v>253</v>
      </c>
      <c r="J15" s="29">
        <v>370</v>
      </c>
      <c r="K15" s="29">
        <v>384</v>
      </c>
      <c r="L15" s="29">
        <v>434</v>
      </c>
      <c r="M15" s="29">
        <v>367</v>
      </c>
      <c r="N15" s="52">
        <v>3372</v>
      </c>
    </row>
    <row r="16" spans="1:14" ht="15" customHeight="1" x14ac:dyDescent="0.35">
      <c r="A16" s="8" t="s">
        <v>11</v>
      </c>
      <c r="B16" s="29">
        <v>25</v>
      </c>
      <c r="C16" s="29">
        <v>24</v>
      </c>
      <c r="D16" s="29">
        <v>21</v>
      </c>
      <c r="E16" s="29">
        <v>41</v>
      </c>
      <c r="F16" s="29">
        <v>31</v>
      </c>
      <c r="G16" s="29">
        <v>35</v>
      </c>
      <c r="H16" s="29">
        <v>39</v>
      </c>
      <c r="I16" s="29">
        <v>29</v>
      </c>
      <c r="J16" s="29">
        <v>58</v>
      </c>
      <c r="K16" s="29">
        <v>80</v>
      </c>
      <c r="L16" s="29">
        <v>87</v>
      </c>
      <c r="M16" s="29">
        <v>96</v>
      </c>
      <c r="N16" s="52">
        <v>566</v>
      </c>
    </row>
    <row r="17" spans="1:14" ht="15" customHeight="1" x14ac:dyDescent="0.35">
      <c r="A17" s="8" t="s">
        <v>12</v>
      </c>
      <c r="B17" s="29">
        <v>307</v>
      </c>
      <c r="C17" s="29">
        <v>509</v>
      </c>
      <c r="D17" s="29">
        <v>668</v>
      </c>
      <c r="E17" s="29">
        <v>783</v>
      </c>
      <c r="F17" s="29">
        <v>675</v>
      </c>
      <c r="G17" s="29">
        <v>620</v>
      </c>
      <c r="H17" s="29">
        <v>648</v>
      </c>
      <c r="I17" s="29">
        <v>610</v>
      </c>
      <c r="J17" s="29">
        <v>572</v>
      </c>
      <c r="K17" s="29">
        <v>879</v>
      </c>
      <c r="L17" s="29">
        <v>664</v>
      </c>
      <c r="M17" s="29">
        <v>501</v>
      </c>
      <c r="N17" s="52">
        <v>7436</v>
      </c>
    </row>
    <row r="18" spans="1:14" s="19" customFormat="1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53"/>
    </row>
    <row r="19" spans="1:14" ht="15" customHeight="1" x14ac:dyDescent="0.35">
      <c r="A19" s="10" t="s">
        <v>8</v>
      </c>
      <c r="B19" s="26">
        <v>362</v>
      </c>
      <c r="C19" s="26">
        <v>357</v>
      </c>
      <c r="D19" s="26">
        <v>582</v>
      </c>
      <c r="E19" s="26">
        <v>649</v>
      </c>
      <c r="F19" s="26">
        <v>1271</v>
      </c>
      <c r="G19" s="26">
        <v>2040</v>
      </c>
      <c r="H19" s="26">
        <v>2311</v>
      </c>
      <c r="I19" s="26">
        <v>2882</v>
      </c>
      <c r="J19" s="26">
        <v>4209</v>
      </c>
      <c r="K19" s="26">
        <v>6868</v>
      </c>
      <c r="L19" s="26">
        <v>8000</v>
      </c>
      <c r="M19" s="26">
        <v>6702</v>
      </c>
      <c r="N19" s="51">
        <v>36233</v>
      </c>
    </row>
    <row r="20" spans="1:14" ht="15" customHeight="1" x14ac:dyDescent="0.35">
      <c r="A20" s="8" t="s">
        <v>4</v>
      </c>
      <c r="B20" s="29">
        <v>337</v>
      </c>
      <c r="C20" s="29">
        <v>340</v>
      </c>
      <c r="D20" s="29">
        <v>555</v>
      </c>
      <c r="E20" s="29">
        <v>572</v>
      </c>
      <c r="F20" s="29">
        <v>895</v>
      </c>
      <c r="G20" s="29">
        <v>1333</v>
      </c>
      <c r="H20" s="29">
        <v>1604</v>
      </c>
      <c r="I20" s="29">
        <v>2041</v>
      </c>
      <c r="J20" s="29">
        <v>2785</v>
      </c>
      <c r="K20" s="29">
        <v>3555</v>
      </c>
      <c r="L20" s="29">
        <v>1943</v>
      </c>
      <c r="M20" s="29">
        <v>555</v>
      </c>
      <c r="N20" s="52">
        <v>16515</v>
      </c>
    </row>
    <row r="21" spans="1:14" ht="15" customHeight="1" x14ac:dyDescent="0.35">
      <c r="A21" s="8" t="s">
        <v>5</v>
      </c>
      <c r="B21" s="29">
        <v>25</v>
      </c>
      <c r="C21" s="29">
        <v>17</v>
      </c>
      <c r="D21" s="29">
        <v>24</v>
      </c>
      <c r="E21" s="29">
        <v>72</v>
      </c>
      <c r="F21" s="29">
        <v>372</v>
      </c>
      <c r="G21" s="29">
        <v>700</v>
      </c>
      <c r="H21" s="29">
        <v>692</v>
      </c>
      <c r="I21" s="29">
        <v>803</v>
      </c>
      <c r="J21" s="29">
        <v>1352</v>
      </c>
      <c r="K21" s="29">
        <v>2962</v>
      </c>
      <c r="L21" s="29">
        <v>3014</v>
      </c>
      <c r="M21" s="29">
        <v>524</v>
      </c>
      <c r="N21" s="52">
        <v>10557</v>
      </c>
    </row>
    <row r="22" spans="1:14" ht="15" customHeight="1" x14ac:dyDescent="0.35">
      <c r="A22" s="8" t="s">
        <v>6</v>
      </c>
      <c r="B22" s="29">
        <v>0</v>
      </c>
      <c r="C22" s="29">
        <v>0</v>
      </c>
      <c r="D22" s="29">
        <v>3</v>
      </c>
      <c r="E22" s="29">
        <v>5</v>
      </c>
      <c r="F22" s="29">
        <v>4</v>
      </c>
      <c r="G22" s="29">
        <v>7</v>
      </c>
      <c r="H22" s="29">
        <v>15</v>
      </c>
      <c r="I22" s="29">
        <v>38</v>
      </c>
      <c r="J22" s="29">
        <v>72</v>
      </c>
      <c r="K22" s="29">
        <v>351</v>
      </c>
      <c r="L22" s="29">
        <v>3043</v>
      </c>
      <c r="M22" s="29">
        <v>5623</v>
      </c>
      <c r="N22" s="52">
        <v>9161</v>
      </c>
    </row>
    <row r="23" spans="1:14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56"/>
    </row>
    <row r="24" spans="1:14" ht="15" customHeight="1" x14ac:dyDescent="0.35">
      <c r="A24" s="8" t="s">
        <v>14</v>
      </c>
      <c r="B24" s="37">
        <v>281</v>
      </c>
      <c r="C24" s="37">
        <v>288</v>
      </c>
      <c r="D24" s="37">
        <v>472</v>
      </c>
      <c r="E24" s="37">
        <v>353</v>
      </c>
      <c r="F24" s="37">
        <v>444</v>
      </c>
      <c r="G24" s="37">
        <v>406</v>
      </c>
      <c r="H24" s="37">
        <v>384</v>
      </c>
      <c r="I24" s="37">
        <v>486</v>
      </c>
      <c r="J24" s="39">
        <v>448</v>
      </c>
      <c r="K24" s="39">
        <v>370</v>
      </c>
      <c r="L24" s="39">
        <v>342</v>
      </c>
      <c r="M24" s="39">
        <v>354</v>
      </c>
      <c r="N24" s="56">
        <v>4628</v>
      </c>
    </row>
    <row r="25" spans="1:14" ht="15" customHeight="1" x14ac:dyDescent="0.35">
      <c r="A25" s="8" t="s">
        <v>43</v>
      </c>
      <c r="B25" s="37">
        <v>56</v>
      </c>
      <c r="C25" s="37">
        <v>52</v>
      </c>
      <c r="D25" s="37">
        <v>83</v>
      </c>
      <c r="E25" s="37">
        <v>219</v>
      </c>
      <c r="F25" s="37">
        <v>451</v>
      </c>
      <c r="G25" s="37">
        <v>927</v>
      </c>
      <c r="H25" s="37">
        <v>1220</v>
      </c>
      <c r="I25" s="37">
        <v>1555</v>
      </c>
      <c r="J25" s="39">
        <v>2337</v>
      </c>
      <c r="K25" s="39">
        <v>3185</v>
      </c>
      <c r="L25" s="39">
        <v>1601</v>
      </c>
      <c r="M25" s="39">
        <v>201</v>
      </c>
      <c r="N25" s="56">
        <v>11887</v>
      </c>
    </row>
    <row r="26" spans="1:14" s="19" customFormat="1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53"/>
    </row>
    <row r="27" spans="1:14" ht="15" customHeight="1" x14ac:dyDescent="0.35">
      <c r="A27" s="10" t="s">
        <v>8</v>
      </c>
      <c r="B27" s="26">
        <v>147</v>
      </c>
      <c r="C27" s="26">
        <v>207</v>
      </c>
      <c r="D27" s="26">
        <v>433</v>
      </c>
      <c r="E27" s="26">
        <v>635</v>
      </c>
      <c r="F27" s="26">
        <v>828</v>
      </c>
      <c r="G27" s="26">
        <v>1208</v>
      </c>
      <c r="H27" s="26">
        <v>1190</v>
      </c>
      <c r="I27" s="26">
        <v>1493</v>
      </c>
      <c r="J27" s="26">
        <v>1792</v>
      </c>
      <c r="K27" s="26">
        <v>2112</v>
      </c>
      <c r="L27" s="26">
        <v>2021</v>
      </c>
      <c r="M27" s="26">
        <v>2691</v>
      </c>
      <c r="N27" s="51">
        <v>14757</v>
      </c>
    </row>
    <row r="28" spans="1:14" ht="15" customHeight="1" x14ac:dyDescent="0.35">
      <c r="A28" s="8" t="s">
        <v>4</v>
      </c>
      <c r="B28" s="29">
        <v>126</v>
      </c>
      <c r="C28" s="29">
        <v>178</v>
      </c>
      <c r="D28" s="29">
        <v>401</v>
      </c>
      <c r="E28" s="29">
        <v>601</v>
      </c>
      <c r="F28" s="29">
        <v>774</v>
      </c>
      <c r="G28" s="29">
        <v>1121</v>
      </c>
      <c r="H28" s="29">
        <v>1108</v>
      </c>
      <c r="I28" s="29">
        <v>1417</v>
      </c>
      <c r="J28" s="29">
        <v>1695</v>
      </c>
      <c r="K28" s="29">
        <v>2035</v>
      </c>
      <c r="L28" s="29">
        <v>1804</v>
      </c>
      <c r="M28" s="29">
        <v>1329</v>
      </c>
      <c r="N28" s="52">
        <v>12589</v>
      </c>
    </row>
    <row r="29" spans="1:14" ht="15" customHeight="1" x14ac:dyDescent="0.35">
      <c r="A29" s="8" t="s">
        <v>5</v>
      </c>
      <c r="B29" s="29">
        <v>16</v>
      </c>
      <c r="C29" s="29">
        <v>24</v>
      </c>
      <c r="D29" s="29">
        <v>31</v>
      </c>
      <c r="E29" s="29">
        <v>26</v>
      </c>
      <c r="F29" s="29">
        <v>51</v>
      </c>
      <c r="G29" s="29">
        <v>84</v>
      </c>
      <c r="H29" s="29">
        <v>76</v>
      </c>
      <c r="I29" s="29">
        <v>73</v>
      </c>
      <c r="J29" s="29">
        <v>90</v>
      </c>
      <c r="K29" s="29">
        <v>55</v>
      </c>
      <c r="L29" s="29">
        <v>45</v>
      </c>
      <c r="M29" s="29">
        <v>21</v>
      </c>
      <c r="N29" s="52">
        <v>592</v>
      </c>
    </row>
    <row r="30" spans="1:14" ht="15" customHeight="1" x14ac:dyDescent="0.35">
      <c r="A30" s="8" t="s">
        <v>6</v>
      </c>
      <c r="B30" s="29">
        <v>5</v>
      </c>
      <c r="C30" s="29">
        <v>5</v>
      </c>
      <c r="D30" s="29">
        <v>1</v>
      </c>
      <c r="E30" s="29">
        <v>8</v>
      </c>
      <c r="F30" s="29">
        <v>3</v>
      </c>
      <c r="G30" s="29">
        <v>3</v>
      </c>
      <c r="H30" s="29">
        <v>6</v>
      </c>
      <c r="I30" s="29">
        <v>3</v>
      </c>
      <c r="J30" s="29">
        <v>7</v>
      </c>
      <c r="K30" s="29">
        <v>22</v>
      </c>
      <c r="L30" s="29">
        <v>172</v>
      </c>
      <c r="M30" s="29">
        <v>1341</v>
      </c>
      <c r="N30" s="52">
        <v>1576</v>
      </c>
    </row>
    <row r="31" spans="1:14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56"/>
    </row>
    <row r="32" spans="1:14" ht="15" customHeight="1" x14ac:dyDescent="0.35">
      <c r="A32" s="8" t="s">
        <v>16</v>
      </c>
      <c r="B32" s="29">
        <v>39</v>
      </c>
      <c r="C32" s="29">
        <v>62</v>
      </c>
      <c r="D32" s="29">
        <v>133</v>
      </c>
      <c r="E32" s="29">
        <v>202</v>
      </c>
      <c r="F32" s="29">
        <v>242</v>
      </c>
      <c r="G32" s="29">
        <v>338</v>
      </c>
      <c r="H32" s="29">
        <v>317</v>
      </c>
      <c r="I32" s="29">
        <v>440</v>
      </c>
      <c r="J32" s="29">
        <v>410</v>
      </c>
      <c r="K32" s="29">
        <v>477</v>
      </c>
      <c r="L32" s="29">
        <v>488</v>
      </c>
      <c r="M32" s="29">
        <v>517</v>
      </c>
      <c r="N32" s="52">
        <v>3665</v>
      </c>
    </row>
    <row r="33" spans="1:14" ht="15" customHeight="1" x14ac:dyDescent="0.35">
      <c r="A33" s="8" t="s">
        <v>17</v>
      </c>
      <c r="B33" s="29">
        <v>84</v>
      </c>
      <c r="C33" s="29">
        <v>108</v>
      </c>
      <c r="D33" s="29">
        <v>251</v>
      </c>
      <c r="E33" s="29">
        <v>348</v>
      </c>
      <c r="F33" s="29">
        <v>426</v>
      </c>
      <c r="G33" s="29">
        <v>603</v>
      </c>
      <c r="H33" s="29">
        <v>427</v>
      </c>
      <c r="I33" s="29">
        <v>414</v>
      </c>
      <c r="J33" s="29">
        <v>368</v>
      </c>
      <c r="K33" s="29">
        <v>398</v>
      </c>
      <c r="L33" s="29">
        <v>348</v>
      </c>
      <c r="M33" s="29">
        <v>335</v>
      </c>
      <c r="N33" s="52">
        <v>4110</v>
      </c>
    </row>
    <row r="34" spans="1:14" ht="15" customHeight="1" x14ac:dyDescent="0.35">
      <c r="A34" s="8" t="s">
        <v>41</v>
      </c>
      <c r="B34" s="29">
        <v>3</v>
      </c>
      <c r="C34" s="29">
        <v>8</v>
      </c>
      <c r="D34" s="29">
        <v>17</v>
      </c>
      <c r="E34" s="29">
        <v>51</v>
      </c>
      <c r="F34" s="29">
        <v>106</v>
      </c>
      <c r="G34" s="29">
        <v>180</v>
      </c>
      <c r="H34" s="29">
        <v>364</v>
      </c>
      <c r="I34" s="29">
        <v>563</v>
      </c>
      <c r="J34" s="29">
        <v>917</v>
      </c>
      <c r="K34" s="29">
        <v>1160</v>
      </c>
      <c r="L34" s="29">
        <v>968</v>
      </c>
      <c r="M34" s="29">
        <v>477</v>
      </c>
      <c r="N34" s="52">
        <v>4814</v>
      </c>
    </row>
    <row r="35" spans="1:14" s="19" customFormat="1" ht="20.149999999999999" customHeight="1" x14ac:dyDescent="0.35">
      <c r="A35" s="9" t="s">
        <v>18</v>
      </c>
      <c r="B35" s="42">
        <v>0</v>
      </c>
      <c r="C35" s="42">
        <v>0</v>
      </c>
      <c r="D35" s="42">
        <v>0</v>
      </c>
      <c r="E35" s="42">
        <v>0</v>
      </c>
      <c r="F35" s="42">
        <v>2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53">
        <v>2</v>
      </c>
    </row>
    <row r="36" spans="1:14" ht="15" customHeight="1" x14ac:dyDescent="0.35">
      <c r="A36" s="8" t="s">
        <v>4</v>
      </c>
      <c r="B36" s="45">
        <v>0</v>
      </c>
      <c r="C36" s="45">
        <v>0</v>
      </c>
      <c r="D36" s="45">
        <v>0</v>
      </c>
      <c r="E36" s="45">
        <v>0</v>
      </c>
      <c r="F36" s="45">
        <v>2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56">
        <v>2</v>
      </c>
    </row>
    <row r="37" spans="1:14" ht="15" customHeight="1" x14ac:dyDescent="0.35">
      <c r="A37" s="8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5" t="s">
        <v>19</v>
      </c>
      <c r="L37" s="45" t="s">
        <v>19</v>
      </c>
      <c r="M37" s="45" t="s">
        <v>19</v>
      </c>
      <c r="N37" s="40" t="s">
        <v>19</v>
      </c>
    </row>
    <row r="38" spans="1:14" ht="15" customHeight="1" thickBot="1" x14ac:dyDescent="0.4">
      <c r="A38" s="12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9" t="s">
        <v>19</v>
      </c>
    </row>
    <row r="39" spans="1:14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5" customHeight="1" x14ac:dyDescent="0.35">
      <c r="A42" s="14" t="s">
        <v>47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5" customHeight="1" x14ac:dyDescent="0.3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5" customHeight="1" x14ac:dyDescent="0.35">
      <c r="A45" s="14" t="s">
        <v>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3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5" customHeight="1" x14ac:dyDescent="0.3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5" customHeight="1" x14ac:dyDescent="0.35">
      <c r="A51" s="14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5" customHeight="1" x14ac:dyDescent="0.3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5" customHeight="1" x14ac:dyDescent="0.35">
      <c r="A54" s="14" t="s">
        <v>42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5" customHeight="1" x14ac:dyDescent="0.35">
      <c r="A55" s="14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8.9" customHeight="1" x14ac:dyDescent="0.35">
      <c r="A56" s="1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5" customHeight="1" x14ac:dyDescent="0.35">
      <c r="A57" s="14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5" customHeight="1" x14ac:dyDescent="0.35">
      <c r="A58" s="14" t="s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pageMargins left="0.7" right="0.7" top="0.75" bottom="0.75" header="0.3" footer="0.3"/>
  <pageSetup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1F71-87C3-4C99-BF9D-FF6B3B581292}">
  <sheetPr>
    <tabColor theme="3"/>
    <pageSetUpPr fitToPage="1"/>
  </sheetPr>
  <dimension ref="A1:N58"/>
  <sheetViews>
    <sheetView zoomScaleNormal="100" workbookViewId="0">
      <selection activeCell="A51" sqref="A51"/>
    </sheetView>
  </sheetViews>
  <sheetFormatPr defaultColWidth="8.7265625" defaultRowHeight="14.5" x14ac:dyDescent="0.35"/>
  <cols>
    <col min="1" max="1" width="43.453125" style="17" customWidth="1"/>
    <col min="2" max="14" width="10.453125" customWidth="1"/>
  </cols>
  <sheetData>
    <row r="1" spans="1:14" x14ac:dyDescent="0.35">
      <c r="A1" s="4" t="s">
        <v>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5" thickBot="1" x14ac:dyDescent="0.4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15" customHeight="1" x14ac:dyDescent="0.35">
      <c r="A4" s="64" t="s">
        <v>2</v>
      </c>
      <c r="B4" s="67">
        <v>2014</v>
      </c>
      <c r="C4" s="67">
        <v>2015</v>
      </c>
      <c r="D4" s="67">
        <v>2016</v>
      </c>
      <c r="E4" s="67">
        <v>2017</v>
      </c>
      <c r="F4" s="67">
        <v>2018</v>
      </c>
      <c r="G4" s="67">
        <v>2019</v>
      </c>
      <c r="H4" s="67">
        <v>2020</v>
      </c>
      <c r="I4" s="67">
        <v>2021</v>
      </c>
      <c r="J4" s="67">
        <v>2022</v>
      </c>
      <c r="K4" s="67">
        <v>2023</v>
      </c>
      <c r="L4" s="62">
        <v>2024</v>
      </c>
      <c r="M4" s="62">
        <v>2025</v>
      </c>
      <c r="N4" s="66" t="s">
        <v>3</v>
      </c>
    </row>
    <row r="5" spans="1:14" ht="20.149999999999999" customHeight="1" x14ac:dyDescent="0.35">
      <c r="A5" s="9" t="s">
        <v>3</v>
      </c>
      <c r="B5" s="26">
        <v>211</v>
      </c>
      <c r="C5" s="26">
        <v>255</v>
      </c>
      <c r="D5" s="26">
        <v>842</v>
      </c>
      <c r="E5" s="26">
        <v>1453</v>
      </c>
      <c r="F5" s="26">
        <v>1034</v>
      </c>
      <c r="G5" s="26">
        <v>1145</v>
      </c>
      <c r="H5" s="26">
        <v>1013</v>
      </c>
      <c r="I5" s="26">
        <v>1040</v>
      </c>
      <c r="J5" s="26">
        <v>1183</v>
      </c>
      <c r="K5" s="26">
        <v>2493</v>
      </c>
      <c r="L5" s="26">
        <v>4410</v>
      </c>
      <c r="M5" s="26">
        <v>8445</v>
      </c>
      <c r="N5" s="51">
        <v>23524</v>
      </c>
    </row>
    <row r="6" spans="1:14" ht="15" customHeight="1" x14ac:dyDescent="0.35">
      <c r="A6" s="20" t="s">
        <v>4</v>
      </c>
      <c r="B6" s="29">
        <v>199</v>
      </c>
      <c r="C6" s="29">
        <v>247</v>
      </c>
      <c r="D6" s="29">
        <v>622</v>
      </c>
      <c r="E6" s="29">
        <v>914</v>
      </c>
      <c r="F6" s="29">
        <v>874</v>
      </c>
      <c r="G6" s="29">
        <v>1033</v>
      </c>
      <c r="H6" s="29">
        <v>940</v>
      </c>
      <c r="I6" s="29">
        <v>983</v>
      </c>
      <c r="J6" s="29">
        <v>1139</v>
      </c>
      <c r="K6" s="29">
        <v>2419</v>
      </c>
      <c r="L6" s="29">
        <v>3993</v>
      </c>
      <c r="M6" s="29">
        <v>2049</v>
      </c>
      <c r="N6" s="52">
        <v>15412</v>
      </c>
    </row>
    <row r="7" spans="1:14" ht="15" customHeight="1" x14ac:dyDescent="0.35">
      <c r="A7" s="20" t="s">
        <v>5</v>
      </c>
      <c r="B7" s="29">
        <v>11</v>
      </c>
      <c r="C7" s="29">
        <v>5</v>
      </c>
      <c r="D7" s="29">
        <v>118</v>
      </c>
      <c r="E7" s="29">
        <v>203</v>
      </c>
      <c r="F7" s="29">
        <v>105</v>
      </c>
      <c r="G7" s="29">
        <v>96</v>
      </c>
      <c r="H7" s="29">
        <v>62</v>
      </c>
      <c r="I7" s="29">
        <v>37</v>
      </c>
      <c r="J7" s="29">
        <v>30</v>
      </c>
      <c r="K7" s="29">
        <v>45</v>
      </c>
      <c r="L7" s="29">
        <v>72</v>
      </c>
      <c r="M7" s="29">
        <v>54</v>
      </c>
      <c r="N7" s="52">
        <v>838</v>
      </c>
    </row>
    <row r="8" spans="1:14" ht="15" customHeight="1" x14ac:dyDescent="0.35">
      <c r="A8" s="20" t="s">
        <v>6</v>
      </c>
      <c r="B8" s="29">
        <v>1</v>
      </c>
      <c r="C8" s="29">
        <v>3</v>
      </c>
      <c r="D8" s="29">
        <v>102</v>
      </c>
      <c r="E8" s="29">
        <v>336</v>
      </c>
      <c r="F8" s="29">
        <v>55</v>
      </c>
      <c r="G8" s="29">
        <v>16</v>
      </c>
      <c r="H8" s="29">
        <v>11</v>
      </c>
      <c r="I8" s="29">
        <v>20</v>
      </c>
      <c r="J8" s="29">
        <v>14</v>
      </c>
      <c r="K8" s="29">
        <v>29</v>
      </c>
      <c r="L8" s="29">
        <v>345</v>
      </c>
      <c r="M8" s="29">
        <v>6342</v>
      </c>
      <c r="N8" s="52">
        <v>7274</v>
      </c>
    </row>
    <row r="9" spans="1:14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53"/>
    </row>
    <row r="10" spans="1:14" ht="15" customHeight="1" x14ac:dyDescent="0.35">
      <c r="A10" s="15" t="s">
        <v>8</v>
      </c>
      <c r="B10" s="26">
        <v>28</v>
      </c>
      <c r="C10" s="26">
        <v>21</v>
      </c>
      <c r="D10" s="26">
        <v>46</v>
      </c>
      <c r="E10" s="26">
        <v>52</v>
      </c>
      <c r="F10" s="26">
        <v>44</v>
      </c>
      <c r="G10" s="26">
        <v>33</v>
      </c>
      <c r="H10" s="26">
        <v>38</v>
      </c>
      <c r="I10" s="26">
        <v>43</v>
      </c>
      <c r="J10" s="26">
        <v>44</v>
      </c>
      <c r="K10" s="26">
        <v>56</v>
      </c>
      <c r="L10" s="26">
        <v>94</v>
      </c>
      <c r="M10" s="26">
        <v>131</v>
      </c>
      <c r="N10" s="51">
        <v>630</v>
      </c>
    </row>
    <row r="11" spans="1:14" ht="15" customHeight="1" x14ac:dyDescent="0.35">
      <c r="A11" s="20" t="s">
        <v>4</v>
      </c>
      <c r="B11" s="29">
        <v>24</v>
      </c>
      <c r="C11" s="29">
        <v>18</v>
      </c>
      <c r="D11" s="29">
        <v>33</v>
      </c>
      <c r="E11" s="29">
        <v>44</v>
      </c>
      <c r="F11" s="29">
        <v>36</v>
      </c>
      <c r="G11" s="29">
        <v>25</v>
      </c>
      <c r="H11" s="29">
        <v>31</v>
      </c>
      <c r="I11" s="29">
        <v>37</v>
      </c>
      <c r="J11" s="29">
        <v>38</v>
      </c>
      <c r="K11" s="29">
        <v>43</v>
      </c>
      <c r="L11" s="29">
        <v>72</v>
      </c>
      <c r="M11" s="29">
        <v>68</v>
      </c>
      <c r="N11" s="52">
        <v>469</v>
      </c>
    </row>
    <row r="12" spans="1:14" ht="15" customHeight="1" x14ac:dyDescent="0.35">
      <c r="A12" s="20" t="s">
        <v>5</v>
      </c>
      <c r="B12" s="29">
        <v>4</v>
      </c>
      <c r="C12" s="29">
        <v>2</v>
      </c>
      <c r="D12" s="29">
        <v>13</v>
      </c>
      <c r="E12" s="29">
        <v>8</v>
      </c>
      <c r="F12" s="29">
        <v>8</v>
      </c>
      <c r="G12" s="29">
        <v>8</v>
      </c>
      <c r="H12" s="29">
        <v>7</v>
      </c>
      <c r="I12" s="29">
        <v>5</v>
      </c>
      <c r="J12" s="29">
        <v>6</v>
      </c>
      <c r="K12" s="29">
        <v>12</v>
      </c>
      <c r="L12" s="29">
        <v>11</v>
      </c>
      <c r="M12" s="29">
        <v>9</v>
      </c>
      <c r="N12" s="52">
        <v>93</v>
      </c>
    </row>
    <row r="13" spans="1:14" ht="15" customHeight="1" x14ac:dyDescent="0.35">
      <c r="A13" s="20" t="s">
        <v>6</v>
      </c>
      <c r="B13" s="29">
        <v>0</v>
      </c>
      <c r="C13" s="29">
        <v>1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1</v>
      </c>
      <c r="J13" s="29">
        <v>0</v>
      </c>
      <c r="K13" s="29">
        <v>1</v>
      </c>
      <c r="L13" s="29">
        <v>11</v>
      </c>
      <c r="M13" s="29">
        <v>54</v>
      </c>
      <c r="N13" s="52">
        <v>68</v>
      </c>
    </row>
    <row r="14" spans="1:14" ht="15" customHeight="1" x14ac:dyDescent="0.35">
      <c r="A14" s="1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56"/>
    </row>
    <row r="15" spans="1:14" ht="15" customHeight="1" x14ac:dyDescent="0.35">
      <c r="A15" s="20" t="s">
        <v>10</v>
      </c>
      <c r="B15" s="29">
        <v>4</v>
      </c>
      <c r="C15" s="29">
        <v>3</v>
      </c>
      <c r="D15" s="29">
        <v>6</v>
      </c>
      <c r="E15" s="29">
        <v>15</v>
      </c>
      <c r="F15" s="29">
        <v>6</v>
      </c>
      <c r="G15" s="29">
        <v>5</v>
      </c>
      <c r="H15" s="29">
        <v>5</v>
      </c>
      <c r="I15" s="29">
        <v>9</v>
      </c>
      <c r="J15" s="29">
        <v>10</v>
      </c>
      <c r="K15" s="29">
        <v>11</v>
      </c>
      <c r="L15" s="29">
        <v>28</v>
      </c>
      <c r="M15" s="29">
        <v>20</v>
      </c>
      <c r="N15" s="52">
        <v>122</v>
      </c>
    </row>
    <row r="16" spans="1:14" ht="15" customHeight="1" x14ac:dyDescent="0.35">
      <c r="A16" s="20" t="s">
        <v>11</v>
      </c>
      <c r="B16" s="29">
        <v>8</v>
      </c>
      <c r="C16" s="29">
        <v>6</v>
      </c>
      <c r="D16" s="29">
        <v>7</v>
      </c>
      <c r="E16" s="29">
        <v>11</v>
      </c>
      <c r="F16" s="29">
        <v>11</v>
      </c>
      <c r="G16" s="29">
        <v>10</v>
      </c>
      <c r="H16" s="29">
        <v>3</v>
      </c>
      <c r="I16" s="29">
        <v>9</v>
      </c>
      <c r="J16" s="29">
        <v>8</v>
      </c>
      <c r="K16" s="29">
        <v>8</v>
      </c>
      <c r="L16" s="29">
        <v>17</v>
      </c>
      <c r="M16" s="29">
        <v>12</v>
      </c>
      <c r="N16" s="52">
        <v>110</v>
      </c>
    </row>
    <row r="17" spans="1:14" ht="15" customHeight="1" x14ac:dyDescent="0.35">
      <c r="A17" s="20" t="s">
        <v>12</v>
      </c>
      <c r="B17" s="29">
        <v>12</v>
      </c>
      <c r="C17" s="29">
        <v>9</v>
      </c>
      <c r="D17" s="29">
        <v>20</v>
      </c>
      <c r="E17" s="29">
        <v>18</v>
      </c>
      <c r="F17" s="29">
        <v>19</v>
      </c>
      <c r="G17" s="29">
        <v>10</v>
      </c>
      <c r="H17" s="29">
        <v>23</v>
      </c>
      <c r="I17" s="29">
        <v>19</v>
      </c>
      <c r="J17" s="29">
        <v>20</v>
      </c>
      <c r="K17" s="29">
        <v>24</v>
      </c>
      <c r="L17" s="29">
        <v>27</v>
      </c>
      <c r="M17" s="29">
        <v>36</v>
      </c>
      <c r="N17" s="52">
        <v>237</v>
      </c>
    </row>
    <row r="18" spans="1:14" ht="20.149999999999999" customHeight="1" x14ac:dyDescent="0.35">
      <c r="A18" s="9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53"/>
    </row>
    <row r="19" spans="1:14" ht="15" customHeight="1" x14ac:dyDescent="0.35">
      <c r="A19" s="15" t="s">
        <v>8</v>
      </c>
      <c r="B19" s="26">
        <v>136</v>
      </c>
      <c r="C19" s="26">
        <v>155</v>
      </c>
      <c r="D19" s="26">
        <v>230</v>
      </c>
      <c r="E19" s="26">
        <v>179</v>
      </c>
      <c r="F19" s="26">
        <v>216</v>
      </c>
      <c r="G19" s="26">
        <v>241</v>
      </c>
      <c r="H19" s="26">
        <v>245</v>
      </c>
      <c r="I19" s="26">
        <v>255</v>
      </c>
      <c r="J19" s="26">
        <v>359</v>
      </c>
      <c r="K19" s="26">
        <v>446</v>
      </c>
      <c r="L19" s="26">
        <v>611</v>
      </c>
      <c r="M19" s="26">
        <v>613</v>
      </c>
      <c r="N19" s="51">
        <v>3686</v>
      </c>
    </row>
    <row r="20" spans="1:14" ht="15" customHeight="1" x14ac:dyDescent="0.35">
      <c r="A20" s="20" t="s">
        <v>4</v>
      </c>
      <c r="B20" s="29">
        <v>130</v>
      </c>
      <c r="C20" s="29">
        <v>151</v>
      </c>
      <c r="D20" s="29">
        <v>224</v>
      </c>
      <c r="E20" s="29">
        <v>172</v>
      </c>
      <c r="F20" s="29">
        <v>208</v>
      </c>
      <c r="G20" s="29">
        <v>228</v>
      </c>
      <c r="H20" s="29">
        <v>232</v>
      </c>
      <c r="I20" s="29">
        <v>243</v>
      </c>
      <c r="J20" s="29">
        <v>344</v>
      </c>
      <c r="K20" s="29">
        <v>427</v>
      </c>
      <c r="L20" s="29">
        <v>380</v>
      </c>
      <c r="M20" s="29">
        <v>210</v>
      </c>
      <c r="N20" s="52">
        <v>2949</v>
      </c>
    </row>
    <row r="21" spans="1:14" ht="15" customHeight="1" x14ac:dyDescent="0.35">
      <c r="A21" s="20" t="s">
        <v>5</v>
      </c>
      <c r="B21" s="29">
        <v>5</v>
      </c>
      <c r="C21" s="29">
        <v>3</v>
      </c>
      <c r="D21" s="29">
        <v>6</v>
      </c>
      <c r="E21" s="29">
        <v>5</v>
      </c>
      <c r="F21" s="29">
        <v>5</v>
      </c>
      <c r="G21" s="29">
        <v>12</v>
      </c>
      <c r="H21" s="29">
        <v>13</v>
      </c>
      <c r="I21" s="29">
        <v>10</v>
      </c>
      <c r="J21" s="29">
        <v>7</v>
      </c>
      <c r="K21" s="29">
        <v>14</v>
      </c>
      <c r="L21" s="29">
        <v>36</v>
      </c>
      <c r="M21" s="29">
        <v>31</v>
      </c>
      <c r="N21" s="52">
        <v>147</v>
      </c>
    </row>
    <row r="22" spans="1:14" ht="15" customHeight="1" x14ac:dyDescent="0.35">
      <c r="A22" s="20" t="s">
        <v>6</v>
      </c>
      <c r="B22" s="29">
        <v>1</v>
      </c>
      <c r="C22" s="29">
        <v>1</v>
      </c>
      <c r="D22" s="29">
        <v>0</v>
      </c>
      <c r="E22" s="29">
        <v>2</v>
      </c>
      <c r="F22" s="29">
        <v>3</v>
      </c>
      <c r="G22" s="29">
        <v>1</v>
      </c>
      <c r="H22" s="29">
        <v>0</v>
      </c>
      <c r="I22" s="29">
        <v>2</v>
      </c>
      <c r="J22" s="29">
        <v>8</v>
      </c>
      <c r="K22" s="29">
        <v>5</v>
      </c>
      <c r="L22" s="29">
        <v>195</v>
      </c>
      <c r="M22" s="29">
        <v>372</v>
      </c>
      <c r="N22" s="52">
        <v>590</v>
      </c>
    </row>
    <row r="23" spans="1:14" ht="15" customHeight="1" x14ac:dyDescent="0.35">
      <c r="A23" s="16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56"/>
    </row>
    <row r="24" spans="1:14" ht="15" customHeight="1" x14ac:dyDescent="0.35">
      <c r="A24" s="20" t="s">
        <v>14</v>
      </c>
      <c r="B24" s="37">
        <v>99</v>
      </c>
      <c r="C24" s="37">
        <v>99</v>
      </c>
      <c r="D24" s="37">
        <v>173</v>
      </c>
      <c r="E24" s="37">
        <v>109</v>
      </c>
      <c r="F24" s="37">
        <v>135</v>
      </c>
      <c r="G24" s="37">
        <v>135</v>
      </c>
      <c r="H24" s="37">
        <v>120</v>
      </c>
      <c r="I24" s="37">
        <v>129</v>
      </c>
      <c r="J24" s="39">
        <v>123</v>
      </c>
      <c r="K24" s="39">
        <v>133</v>
      </c>
      <c r="L24" s="39">
        <v>133</v>
      </c>
      <c r="M24" s="39">
        <v>112</v>
      </c>
      <c r="N24" s="56">
        <v>1500</v>
      </c>
    </row>
    <row r="25" spans="1:14" ht="15" customHeight="1" x14ac:dyDescent="0.35">
      <c r="A25" s="20" t="s">
        <v>43</v>
      </c>
      <c r="B25" s="37">
        <v>31</v>
      </c>
      <c r="C25" s="37">
        <v>52</v>
      </c>
      <c r="D25" s="37">
        <v>51</v>
      </c>
      <c r="E25" s="37">
        <v>63</v>
      </c>
      <c r="F25" s="37">
        <v>73</v>
      </c>
      <c r="G25" s="37">
        <v>93</v>
      </c>
      <c r="H25" s="37">
        <v>112</v>
      </c>
      <c r="I25" s="37">
        <v>114</v>
      </c>
      <c r="J25" s="39">
        <v>221</v>
      </c>
      <c r="K25" s="39">
        <v>294</v>
      </c>
      <c r="L25" s="39">
        <v>247</v>
      </c>
      <c r="M25" s="39">
        <v>98</v>
      </c>
      <c r="N25" s="56">
        <v>1449</v>
      </c>
    </row>
    <row r="26" spans="1:14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53"/>
    </row>
    <row r="27" spans="1:14" ht="15" customHeight="1" x14ac:dyDescent="0.35">
      <c r="A27" s="15" t="s">
        <v>8</v>
      </c>
      <c r="B27" s="26">
        <v>47</v>
      </c>
      <c r="C27" s="26">
        <v>79</v>
      </c>
      <c r="D27" s="26">
        <v>566</v>
      </c>
      <c r="E27" s="26">
        <v>1220</v>
      </c>
      <c r="F27" s="26">
        <v>774</v>
      </c>
      <c r="G27" s="26">
        <v>871</v>
      </c>
      <c r="H27" s="26">
        <v>730</v>
      </c>
      <c r="I27" s="26">
        <v>742</v>
      </c>
      <c r="J27" s="26">
        <v>780</v>
      </c>
      <c r="K27" s="26">
        <v>1991</v>
      </c>
      <c r="L27" s="26">
        <v>3705</v>
      </c>
      <c r="M27" s="26">
        <v>7701</v>
      </c>
      <c r="N27" s="51">
        <v>19206</v>
      </c>
    </row>
    <row r="28" spans="1:14" ht="15" customHeight="1" x14ac:dyDescent="0.35">
      <c r="A28" s="20" t="s">
        <v>4</v>
      </c>
      <c r="B28" s="29">
        <v>45</v>
      </c>
      <c r="C28" s="29">
        <v>78</v>
      </c>
      <c r="D28" s="29">
        <v>365</v>
      </c>
      <c r="E28" s="29">
        <v>698</v>
      </c>
      <c r="F28" s="29">
        <v>630</v>
      </c>
      <c r="G28" s="29">
        <v>780</v>
      </c>
      <c r="H28" s="29">
        <v>677</v>
      </c>
      <c r="I28" s="29">
        <v>703</v>
      </c>
      <c r="J28" s="29">
        <v>757</v>
      </c>
      <c r="K28" s="29">
        <v>1949</v>
      </c>
      <c r="L28" s="29">
        <v>3541</v>
      </c>
      <c r="M28" s="29">
        <v>1771</v>
      </c>
      <c r="N28" s="52">
        <v>11994</v>
      </c>
    </row>
    <row r="29" spans="1:14" ht="15" customHeight="1" x14ac:dyDescent="0.35">
      <c r="A29" s="20" t="s">
        <v>5</v>
      </c>
      <c r="B29" s="29">
        <v>2</v>
      </c>
      <c r="C29" s="29">
        <v>0</v>
      </c>
      <c r="D29" s="29">
        <v>99</v>
      </c>
      <c r="E29" s="29">
        <v>190</v>
      </c>
      <c r="F29" s="29">
        <v>92</v>
      </c>
      <c r="G29" s="29">
        <v>76</v>
      </c>
      <c r="H29" s="29">
        <v>42</v>
      </c>
      <c r="I29" s="29">
        <v>22</v>
      </c>
      <c r="J29" s="29">
        <v>17</v>
      </c>
      <c r="K29" s="29">
        <v>19</v>
      </c>
      <c r="L29" s="29">
        <v>25</v>
      </c>
      <c r="M29" s="29">
        <v>14</v>
      </c>
      <c r="N29" s="52">
        <v>598</v>
      </c>
    </row>
    <row r="30" spans="1:14" ht="15" customHeight="1" x14ac:dyDescent="0.35">
      <c r="A30" s="20" t="s">
        <v>6</v>
      </c>
      <c r="B30" s="29">
        <v>0</v>
      </c>
      <c r="C30" s="29">
        <v>1</v>
      </c>
      <c r="D30" s="29">
        <v>102</v>
      </c>
      <c r="E30" s="29">
        <v>332</v>
      </c>
      <c r="F30" s="29">
        <v>52</v>
      </c>
      <c r="G30" s="29">
        <v>15</v>
      </c>
      <c r="H30" s="29">
        <v>11</v>
      </c>
      <c r="I30" s="29">
        <v>17</v>
      </c>
      <c r="J30" s="29">
        <v>6</v>
      </c>
      <c r="K30" s="29">
        <v>23</v>
      </c>
      <c r="L30" s="29">
        <v>139</v>
      </c>
      <c r="M30" s="29">
        <v>5916</v>
      </c>
      <c r="N30" s="52">
        <v>6614</v>
      </c>
    </row>
    <row r="31" spans="1:14" ht="15" customHeight="1" x14ac:dyDescent="0.35">
      <c r="A31" s="16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56"/>
    </row>
    <row r="32" spans="1:14" ht="15" customHeight="1" x14ac:dyDescent="0.35">
      <c r="A32" s="20" t="s">
        <v>16</v>
      </c>
      <c r="B32" s="29">
        <v>5</v>
      </c>
      <c r="C32" s="29">
        <v>12</v>
      </c>
      <c r="D32" s="29">
        <v>32</v>
      </c>
      <c r="E32" s="29">
        <v>50</v>
      </c>
      <c r="F32" s="29">
        <v>48</v>
      </c>
      <c r="G32" s="29">
        <v>61</v>
      </c>
      <c r="H32" s="29">
        <v>56</v>
      </c>
      <c r="I32" s="29">
        <v>59</v>
      </c>
      <c r="J32" s="29">
        <v>85</v>
      </c>
      <c r="K32" s="29">
        <v>141</v>
      </c>
      <c r="L32" s="29">
        <v>99</v>
      </c>
      <c r="M32" s="29">
        <v>108</v>
      </c>
      <c r="N32" s="52">
        <v>756</v>
      </c>
    </row>
    <row r="33" spans="1:14" ht="15" customHeight="1" x14ac:dyDescent="0.35">
      <c r="A33" s="20" t="s">
        <v>17</v>
      </c>
      <c r="B33" s="29">
        <v>36</v>
      </c>
      <c r="C33" s="29">
        <v>32</v>
      </c>
      <c r="D33" s="29">
        <v>109</v>
      </c>
      <c r="E33" s="29">
        <v>112</v>
      </c>
      <c r="F33" s="29">
        <v>151</v>
      </c>
      <c r="G33" s="29">
        <v>146</v>
      </c>
      <c r="H33" s="29">
        <v>152</v>
      </c>
      <c r="I33" s="29">
        <v>134</v>
      </c>
      <c r="J33" s="29">
        <v>151</v>
      </c>
      <c r="K33" s="29">
        <v>177</v>
      </c>
      <c r="L33" s="29">
        <v>205</v>
      </c>
      <c r="M33" s="29">
        <v>183</v>
      </c>
      <c r="N33" s="52">
        <v>1588</v>
      </c>
    </row>
    <row r="34" spans="1:14" ht="15" customHeight="1" x14ac:dyDescent="0.35">
      <c r="A34" s="20" t="s">
        <v>41</v>
      </c>
      <c r="B34" s="29">
        <v>4</v>
      </c>
      <c r="C34" s="29">
        <v>34</v>
      </c>
      <c r="D34" s="29">
        <v>224</v>
      </c>
      <c r="E34" s="29">
        <v>536</v>
      </c>
      <c r="F34" s="29">
        <v>431</v>
      </c>
      <c r="G34" s="29">
        <v>573</v>
      </c>
      <c r="H34" s="29">
        <v>469</v>
      </c>
      <c r="I34" s="29">
        <v>510</v>
      </c>
      <c r="J34" s="29">
        <v>521</v>
      </c>
      <c r="K34" s="29">
        <v>1631</v>
      </c>
      <c r="L34" s="29">
        <v>3237</v>
      </c>
      <c r="M34" s="29">
        <v>1480</v>
      </c>
      <c r="N34" s="52">
        <v>9650</v>
      </c>
    </row>
    <row r="35" spans="1:14" ht="20.149999999999999" customHeight="1" x14ac:dyDescent="0.35">
      <c r="A35" s="9" t="s">
        <v>18</v>
      </c>
      <c r="B35" s="42" t="s">
        <v>19</v>
      </c>
      <c r="C35" s="42" t="s">
        <v>19</v>
      </c>
      <c r="D35" s="42" t="s">
        <v>19</v>
      </c>
      <c r="E35" s="42">
        <v>2</v>
      </c>
      <c r="F35" s="42" t="s">
        <v>19</v>
      </c>
      <c r="G35" s="42" t="s">
        <v>19</v>
      </c>
      <c r="H35" s="42" t="s">
        <v>19</v>
      </c>
      <c r="I35" s="42" t="s">
        <v>19</v>
      </c>
      <c r="J35" s="42" t="s">
        <v>19</v>
      </c>
      <c r="K35" s="42" t="s">
        <v>19</v>
      </c>
      <c r="L35" s="42" t="s">
        <v>19</v>
      </c>
      <c r="M35" s="42" t="s">
        <v>19</v>
      </c>
      <c r="N35" s="34">
        <v>2</v>
      </c>
    </row>
    <row r="36" spans="1:14" ht="15" customHeight="1" x14ac:dyDescent="0.35">
      <c r="A36" s="20" t="s">
        <v>4</v>
      </c>
      <c r="B36" s="45" t="s">
        <v>19</v>
      </c>
      <c r="C36" s="45" t="s">
        <v>19</v>
      </c>
      <c r="D36" s="45" t="s">
        <v>19</v>
      </c>
      <c r="E36" s="45" t="s">
        <v>19</v>
      </c>
      <c r="F36" s="45" t="s">
        <v>19</v>
      </c>
      <c r="G36" s="45" t="s">
        <v>19</v>
      </c>
      <c r="H36" s="45" t="s">
        <v>19</v>
      </c>
      <c r="I36" s="45" t="s">
        <v>19</v>
      </c>
      <c r="J36" s="45" t="s">
        <v>19</v>
      </c>
      <c r="K36" s="45" t="s">
        <v>19</v>
      </c>
      <c r="L36" s="45" t="s">
        <v>19</v>
      </c>
      <c r="M36" s="45" t="s">
        <v>19</v>
      </c>
      <c r="N36" s="40" t="s">
        <v>19</v>
      </c>
    </row>
    <row r="37" spans="1:14" ht="15" customHeight="1" x14ac:dyDescent="0.35">
      <c r="A37" s="20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5" t="s">
        <v>19</v>
      </c>
      <c r="L37" s="45" t="s">
        <v>19</v>
      </c>
      <c r="M37" s="45" t="s">
        <v>19</v>
      </c>
      <c r="N37" s="40" t="s">
        <v>19</v>
      </c>
    </row>
    <row r="38" spans="1:14" ht="15" customHeight="1" thickBot="1" x14ac:dyDescent="0.4">
      <c r="A38" s="21" t="s">
        <v>6</v>
      </c>
      <c r="B38" s="47" t="s">
        <v>19</v>
      </c>
      <c r="C38" s="47" t="s">
        <v>19</v>
      </c>
      <c r="D38" s="47" t="s">
        <v>19</v>
      </c>
      <c r="E38" s="47">
        <v>2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9">
        <v>2</v>
      </c>
    </row>
    <row r="39" spans="1:14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5" customHeight="1" x14ac:dyDescent="0.35">
      <c r="A42" s="14" t="s">
        <v>47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5" customHeight="1" x14ac:dyDescent="0.3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5" customHeight="1" x14ac:dyDescent="0.35">
      <c r="A45" s="14" t="s">
        <v>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3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5" customHeight="1" x14ac:dyDescent="0.3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5" customHeight="1" x14ac:dyDescent="0.35">
      <c r="A51" s="14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5" customHeight="1" x14ac:dyDescent="0.3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5" customHeight="1" x14ac:dyDescent="0.35">
      <c r="A54" s="14" t="s">
        <v>42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5" customHeight="1" x14ac:dyDescent="0.35">
      <c r="A55" s="14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8.9" customHeight="1" x14ac:dyDescent="0.35">
      <c r="A56" s="1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5" customHeight="1" x14ac:dyDescent="0.35">
      <c r="A57" s="14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5" customHeight="1" x14ac:dyDescent="0.35">
      <c r="A58" s="14" t="s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pageMargins left="0.7" right="0.7" top="0.75" bottom="0.75" header="0.3" footer="0.3"/>
  <pageSetup scale="5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Countries FY25</vt:lpstr>
      <vt:lpstr>India FY25</vt:lpstr>
      <vt:lpstr>China FY25</vt:lpstr>
      <vt:lpstr>Philippines FY25</vt:lpstr>
      <vt:lpstr>Brazil FY25</vt:lpstr>
      <vt:lpstr>Vietnam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Receipts and Current Status by Preference and Country (Fiscal Year 2025, Quarter 4)</dc:title>
  <dc:subject>Contains information on USCIS I-140 receipts and the current status by employment preference and country.</dc:subject>
  <dc:creator/>
  <cp:keywords>i140, quarterly</cp:keywords>
  <dc:description/>
  <cp:lastModifiedBy/>
  <cp:revision>1</cp:revision>
  <dcterms:created xsi:type="dcterms:W3CDTF">2024-01-30T15:37:43Z</dcterms:created>
  <dcterms:modified xsi:type="dcterms:W3CDTF">2026-02-25T20:17:27Z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
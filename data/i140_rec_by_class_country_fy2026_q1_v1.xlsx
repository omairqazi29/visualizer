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13_ncr:1_{887AA38D-6E5E-4BA7-BE9C-FA9D2CE19776}" xr6:coauthVersionLast="47" xr6:coauthVersionMax="47" xr10:uidLastSave="{00000000-0000-0000-0000-000000000000}"/>
  <bookViews>
    <workbookView xWindow="-25710" yWindow="-110" windowWidth="25820" windowHeight="13900" tabRatio="864" xr2:uid="{00000000-000D-0000-FFFF-FFFF00000000}"/>
  </bookViews>
  <sheets>
    <sheet name="All Countries FY26" sheetId="122" r:id="rId1"/>
    <sheet name="India FY26" sheetId="107" r:id="rId2"/>
    <sheet name="China FY26" sheetId="108" r:id="rId3"/>
    <sheet name="Philippines FY26" sheetId="109" r:id="rId4"/>
    <sheet name="Brazil FY26" sheetId="110" r:id="rId5"/>
    <sheet name="Vietnam 2026" sheetId="1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3" i="122" l="1"/>
  <c r="AK23" i="122"/>
  <c r="AL23" i="122"/>
  <c r="AM23" i="122"/>
  <c r="AN23" i="122"/>
  <c r="AO23" i="122"/>
  <c r="AP23" i="122"/>
  <c r="AQ23" i="122"/>
  <c r="AR23" i="122"/>
  <c r="AS23" i="122"/>
  <c r="AT23" i="122"/>
  <c r="AU23" i="122"/>
  <c r="AV23" i="122"/>
  <c r="AW23" i="122"/>
  <c r="AX23" i="122"/>
  <c r="AY23" i="122"/>
  <c r="AZ23" i="122"/>
  <c r="BA23" i="122"/>
  <c r="BB23" i="122"/>
  <c r="BC23" i="122"/>
  <c r="BD23" i="122"/>
  <c r="BE23" i="122"/>
  <c r="BF23" i="122"/>
</calcChain>
</file>

<file path=xl/sharedStrings.xml><?xml version="1.0" encoding="utf-8"?>
<sst xmlns="http://schemas.openxmlformats.org/spreadsheetml/2006/main" count="474" uniqueCount="52">
  <si>
    <t>Number of Form I-140, Immigrant Petition for Alien Worker Petitions Received and Current Status for All Countries</t>
  </si>
  <si>
    <t>By Fiscal Year Received and Current Status</t>
  </si>
  <si>
    <t>Petitions by Employment Preference</t>
  </si>
  <si>
    <t>TOTAL</t>
  </si>
  <si>
    <t>Approved</t>
  </si>
  <si>
    <t>Denied</t>
  </si>
  <si>
    <r>
      <t>Pending, Other</t>
    </r>
    <r>
      <rPr>
        <vertAlign val="superscript"/>
        <sz val="11"/>
        <rFont val="Calibri"/>
        <family val="2"/>
        <scheme val="minor"/>
      </rPr>
      <t>1</t>
    </r>
  </si>
  <si>
    <t>First Preference (EB1)</t>
  </si>
  <si>
    <t>Total Petitions</t>
  </si>
  <si>
    <t>Approvals by Category</t>
  </si>
  <si>
    <t>Aliens with Extraordinary Ability (E11)</t>
  </si>
  <si>
    <t>Outstanding Professors or Researchers (E12)</t>
  </si>
  <si>
    <t>Multinational Executives or Managers (E13)</t>
  </si>
  <si>
    <t>Second Preference (EB2)</t>
  </si>
  <si>
    <r>
      <t>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</si>
  <si>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>Third Preference (EB3)</t>
  </si>
  <si>
    <t>Skilled Workers (E31)</t>
  </si>
  <si>
    <t>Professionals with Baccalaureate Degrees (E32)</t>
  </si>
  <si>
    <r>
      <t>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</si>
  <si>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-</t>
  </si>
  <si>
    <t>Table Key: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</si>
  <si>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</si>
  <si>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</si>
  <si>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Includes National Interest Waiver petitions.</t>
    </r>
  </si>
  <si>
    <t>Notes:</t>
  </si>
  <si>
    <t>1) Petitions received in one reporting period may be approved or denied in subsequent reporting periods.</t>
  </si>
  <si>
    <t>2) This report reflects the most up-to-date estimate available at the time the database is queried.</t>
  </si>
  <si>
    <t>3) Counts may differ from previous periods due to system updates and post-adjudicative outcomes.</t>
  </si>
  <si>
    <t>4) Data is not limited by priority date for approvals.</t>
  </si>
  <si>
    <t xml:space="preserve">6) This report is based on the fiscal year in which the petition was submitted to USCIS, not the fiscal year in which the petition was adjudicated.  A petition may be adjudicated in a later fiscal year than it was filed.  </t>
  </si>
  <si>
    <t xml:space="preserve">   Therefore, this report is different from other reports that are based on the fiscal year in which the petition was adjudicated.</t>
  </si>
  <si>
    <t>8)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</si>
  <si>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</si>
  <si>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</si>
  <si>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Number of Form I-140, Immigrant Petition for Alien Worker Petitions Received and Current Status for India</t>
  </si>
  <si>
    <t>Number of Form I-140, Immigrant Petition for Alien Worker Petitions Received and Current Status for China</t>
  </si>
  <si>
    <t>Number of Form I-140, Immigrant Petition for Alien Worker Petitions Received and Current Status for the Philippines</t>
  </si>
  <si>
    <t>Number of Form I-140, Immigrant Petition for Alien Worker Petitions Received and Current Status for Brazil</t>
  </si>
  <si>
    <r>
      <t xml:space="preserve">  Pending, Other</t>
    </r>
    <r>
      <rPr>
        <vertAlign val="superscript"/>
        <sz val="11"/>
        <rFont val="Calibri"/>
        <family val="2"/>
        <scheme val="minor"/>
      </rPr>
      <t>1</t>
    </r>
  </si>
  <si>
    <r>
      <t xml:space="preserve">  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</si>
  <si>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Unskilled Workers (EW3)</t>
  </si>
  <si>
    <t xml:space="preserve">7) Since petitioners are able to file more than one petition, this report includes all filed petitions; therefore, it could contain multiple petitions for a single individual. </t>
  </si>
  <si>
    <t>National Interest Waiver (NIW)</t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</si>
  <si>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Includes any I-140 filing that lacks an indicated category or specified benefit sought. </t>
    </r>
  </si>
  <si>
    <r>
      <t xml:space="preserve">  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</si>
  <si>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 xml:space="preserve">  National Interest Waiver (NIW)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</si>
  <si>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 xml:space="preserve">Includes cases updated as an administrative closure.  The number of applications awaiting a decision as of the end of the reporting period. </t>
    </r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</si>
  <si>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Includes cases updated as an administrative closure.  The number of applications awaiting a decision as of the end of the reporting period.</t>
    </r>
  </si>
  <si>
    <t>Number of Form I-140, Immigrant Petition for Alien Worker Petitions Received and Current Status for Vietnam</t>
  </si>
  <si>
    <t>Fiscal Years 2014 to 2026 (Q1)</t>
  </si>
  <si>
    <t>CLAIMS3 and ELIS, queried 01/2026, PAER0020071</t>
  </si>
  <si>
    <t>5) Top five countries are determined by total number of receipts in FY2026 and they are India, China, the Philippines, Brazil, and Vietnam.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</si>
</sst>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theme="0"/>
      <name val="Source Sans Pro"/>
      <family val="2"/>
    </font>
    <font>
      <sz val="11"/>
      <color theme="0"/>
      <name val="Source Sans Pro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9" fillId="0" borderId="0" applyFont="0" applyFill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24" fillId="0" borderId="0"/>
    <xf numFmtId="9" fontId="24" fillId="0" borderId="0" applyFont="0" applyFill="0" applyBorder="0" applyAlignment="0" applyProtection="0"/>
    <xf numFmtId="0" fontId="25" fillId="0" borderId="0"/>
    <xf numFmtId="0" fontId="27" fillId="0" borderId="0"/>
    <xf numFmtId="43" fontId="18" fillId="0" borderId="0" applyFont="0" applyFill="0" applyBorder="0" applyAlignment="0" applyProtection="0"/>
  </cellStyleXfs>
  <cellXfs count="73">
    <xf numFmtId="0" fontId="0" fillId="0" borderId="0" xfId="0"/>
    <xf numFmtId="0" fontId="28" fillId="33" borderId="0" xfId="0" applyFont="1" applyFill="1"/>
    <xf numFmtId="0" fontId="28" fillId="33" borderId="17" xfId="0" applyFont="1" applyFill="1" applyBorder="1"/>
    <xf numFmtId="0" fontId="26" fillId="0" borderId="0" xfId="0" applyFont="1"/>
    <xf numFmtId="49" fontId="29" fillId="33" borderId="16" xfId="0" applyNumberFormat="1" applyFont="1" applyFill="1" applyBorder="1" applyAlignment="1">
      <alignment horizontal="left"/>
    </xf>
    <xf numFmtId="0" fontId="29" fillId="33" borderId="0" xfId="0" applyFont="1" applyFill="1"/>
    <xf numFmtId="0" fontId="29" fillId="33" borderId="17" xfId="0" applyFont="1" applyFill="1" applyBorder="1"/>
    <xf numFmtId="49" fontId="16" fillId="34" borderId="11" xfId="43" applyNumberFormat="1" applyFont="1" applyFill="1" applyBorder="1"/>
    <xf numFmtId="49" fontId="30" fillId="0" borderId="11" xfId="43" applyNumberFormat="1" applyFont="1" applyBorder="1" applyAlignment="1">
      <alignment horizontal="left" indent="2"/>
    </xf>
    <xf numFmtId="49" fontId="16" fillId="34" borderId="11" xfId="43" applyNumberFormat="1" applyFont="1" applyFill="1" applyBorder="1" applyAlignment="1">
      <alignment horizontal="left"/>
    </xf>
    <xf numFmtId="49" fontId="30" fillId="34" borderId="11" xfId="43" applyNumberFormat="1" applyFont="1" applyFill="1" applyBorder="1" applyAlignment="1">
      <alignment horizontal="left" indent="1"/>
    </xf>
    <xf numFmtId="49" fontId="32" fillId="0" borderId="11" xfId="43" applyNumberFormat="1" applyFont="1" applyBorder="1"/>
    <xf numFmtId="49" fontId="30" fillId="0" borderId="13" xfId="43" applyNumberFormat="1" applyFont="1" applyBorder="1" applyAlignment="1">
      <alignment horizontal="left" indent="2"/>
    </xf>
    <xf numFmtId="49" fontId="22" fillId="0" borderId="0" xfId="0" applyNumberFormat="1" applyFont="1"/>
    <xf numFmtId="49" fontId="21" fillId="0" borderId="0" xfId="0" applyNumberFormat="1" applyFont="1"/>
    <xf numFmtId="49" fontId="30" fillId="34" borderId="11" xfId="43" applyNumberFormat="1" applyFont="1" applyFill="1" applyBorder="1" applyAlignment="1">
      <alignment horizontal="left"/>
    </xf>
    <xf numFmtId="49" fontId="32" fillId="0" borderId="11" xfId="43" applyNumberFormat="1" applyFont="1" applyBorder="1" applyAlignment="1">
      <alignment horizontal="left"/>
    </xf>
    <xf numFmtId="49" fontId="0" fillId="0" borderId="0" xfId="0" applyNumberFormat="1"/>
    <xf numFmtId="0" fontId="34" fillId="0" borderId="0" xfId="0" applyFont="1"/>
    <xf numFmtId="0" fontId="1" fillId="0" borderId="0" xfId="0" applyFont="1"/>
    <xf numFmtId="49" fontId="30" fillId="0" borderId="11" xfId="43" applyNumberFormat="1" applyFont="1" applyBorder="1" applyAlignment="1">
      <alignment horizontal="left" indent="1"/>
    </xf>
    <xf numFmtId="49" fontId="30" fillId="0" borderId="13" xfId="43" applyNumberFormat="1" applyFont="1" applyBorder="1" applyAlignment="1">
      <alignment horizontal="left" indent="1"/>
    </xf>
    <xf numFmtId="0" fontId="29" fillId="33" borderId="1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26" fillId="0" borderId="0" xfId="0" applyFont="1" applyAlignment="1">
      <alignment horizontal="right"/>
    </xf>
    <xf numFmtId="41" fontId="16" fillId="34" borderId="11" xfId="43" applyNumberFormat="1" applyFont="1" applyFill="1" applyBorder="1" applyAlignment="1">
      <alignment horizontal="left"/>
    </xf>
    <xf numFmtId="41" fontId="16" fillId="34" borderId="10" xfId="0" applyNumberFormat="1" applyFont="1" applyFill="1" applyBorder="1"/>
    <xf numFmtId="41" fontId="16" fillId="34" borderId="12" xfId="0" applyNumberFormat="1" applyFont="1" applyFill="1" applyBorder="1" applyAlignment="1">
      <alignment horizontal="right"/>
    </xf>
    <xf numFmtId="41" fontId="30" fillId="0" borderId="11" xfId="43" applyNumberFormat="1" applyFont="1" applyBorder="1" applyAlignment="1">
      <alignment horizontal="left" indent="2"/>
    </xf>
    <xf numFmtId="41" fontId="0" fillId="0" borderId="10" xfId="0" applyNumberFormat="1" applyBorder="1"/>
    <xf numFmtId="41" fontId="16" fillId="0" borderId="12" xfId="0" applyNumberFormat="1" applyFont="1" applyBorder="1" applyAlignment="1">
      <alignment horizontal="right"/>
    </xf>
    <xf numFmtId="41" fontId="30" fillId="34" borderId="10" xfId="46" applyNumberFormat="1" applyFont="1" applyFill="1" applyBorder="1"/>
    <xf numFmtId="41" fontId="0" fillId="34" borderId="10" xfId="46" applyNumberFormat="1" applyFont="1" applyFill="1" applyBorder="1"/>
    <xf numFmtId="41" fontId="30" fillId="34" borderId="18" xfId="46" applyNumberFormat="1" applyFont="1" applyFill="1" applyBorder="1"/>
    <xf numFmtId="41" fontId="16" fillId="34" borderId="12" xfId="46" applyNumberFormat="1" applyFont="1" applyFill="1" applyBorder="1" applyAlignment="1">
      <alignment horizontal="right"/>
    </xf>
    <xf numFmtId="41" fontId="30" fillId="34" borderId="11" xfId="43" applyNumberFormat="1" applyFont="1" applyFill="1" applyBorder="1" applyAlignment="1">
      <alignment horizontal="left"/>
    </xf>
    <xf numFmtId="41" fontId="32" fillId="0" borderId="11" xfId="43" applyNumberFormat="1" applyFont="1" applyBorder="1" applyAlignment="1">
      <alignment horizontal="left"/>
    </xf>
    <xf numFmtId="41" fontId="30" fillId="0" borderId="10" xfId="46" applyNumberFormat="1" applyFont="1" applyBorder="1"/>
    <xf numFmtId="41" fontId="0" fillId="0" borderId="10" xfId="46" applyNumberFormat="1" applyFont="1" applyFill="1" applyBorder="1"/>
    <xf numFmtId="41" fontId="30" fillId="0" borderId="18" xfId="46" applyNumberFormat="1" applyFont="1" applyBorder="1"/>
    <xf numFmtId="41" fontId="16" fillId="0" borderId="12" xfId="46" applyNumberFormat="1" applyFont="1" applyBorder="1" applyAlignment="1">
      <alignment horizontal="right"/>
    </xf>
    <xf numFmtId="41" fontId="0" fillId="34" borderId="18" xfId="46" applyNumberFormat="1" applyFont="1" applyFill="1" applyBorder="1"/>
    <xf numFmtId="41" fontId="16" fillId="34" borderId="10" xfId="46" applyNumberFormat="1" applyFont="1" applyFill="1" applyBorder="1" applyAlignment="1">
      <alignment horizontal="right"/>
    </xf>
    <xf numFmtId="41" fontId="16" fillId="34" borderId="10" xfId="46" applyNumberFormat="1" applyFont="1" applyFill="1" applyBorder="1"/>
    <xf numFmtId="41" fontId="16" fillId="34" borderId="18" xfId="46" applyNumberFormat="1" applyFont="1" applyFill="1" applyBorder="1" applyAlignment="1">
      <alignment horizontal="right"/>
    </xf>
    <xf numFmtId="41" fontId="30" fillId="0" borderId="10" xfId="46" applyNumberFormat="1" applyFont="1" applyBorder="1" applyAlignment="1">
      <alignment horizontal="right"/>
    </xf>
    <xf numFmtId="41" fontId="0" fillId="0" borderId="18" xfId="46" applyNumberFormat="1" applyFont="1" applyFill="1" applyBorder="1" applyAlignment="1">
      <alignment horizontal="right"/>
    </xf>
    <xf numFmtId="41" fontId="30" fillId="0" borderId="14" xfId="46" applyNumberFormat="1" applyFont="1" applyBorder="1" applyAlignment="1">
      <alignment horizontal="right"/>
    </xf>
    <xf numFmtId="41" fontId="30" fillId="0" borderId="19" xfId="46" applyNumberFormat="1" applyFont="1" applyBorder="1" applyAlignment="1">
      <alignment horizontal="right"/>
    </xf>
    <xf numFmtId="41" fontId="16" fillId="0" borderId="15" xfId="46" applyNumberFormat="1" applyFont="1" applyBorder="1" applyAlignment="1">
      <alignment horizontal="right"/>
    </xf>
    <xf numFmtId="41" fontId="16" fillId="34" borderId="11" xfId="43" applyNumberFormat="1" applyFont="1" applyFill="1" applyBorder="1"/>
    <xf numFmtId="41" fontId="16" fillId="34" borderId="12" xfId="0" applyNumberFormat="1" applyFont="1" applyFill="1" applyBorder="1"/>
    <xf numFmtId="41" fontId="16" fillId="0" borderId="12" xfId="0" applyNumberFormat="1" applyFont="1" applyBorder="1"/>
    <xf numFmtId="41" fontId="16" fillId="34" borderId="12" xfId="46" applyNumberFormat="1" applyFont="1" applyFill="1" applyBorder="1"/>
    <xf numFmtId="41" fontId="30" fillId="34" borderId="11" xfId="43" applyNumberFormat="1" applyFont="1" applyFill="1" applyBorder="1" applyAlignment="1">
      <alignment horizontal="left" indent="1"/>
    </xf>
    <xf numFmtId="41" fontId="32" fillId="0" borderId="11" xfId="43" applyNumberFormat="1" applyFont="1" applyBorder="1"/>
    <xf numFmtId="41" fontId="16" fillId="0" borderId="12" xfId="46" applyNumberFormat="1" applyFont="1" applyBorder="1"/>
    <xf numFmtId="41" fontId="0" fillId="0" borderId="10" xfId="46" applyNumberFormat="1" applyFont="1" applyFill="1" applyBorder="1" applyAlignment="1">
      <alignment horizontal="right"/>
    </xf>
    <xf numFmtId="41" fontId="0" fillId="0" borderId="14" xfId="46" applyNumberFormat="1" applyFont="1" applyFill="1" applyBorder="1" applyAlignment="1">
      <alignment horizontal="right"/>
    </xf>
    <xf numFmtId="41" fontId="35" fillId="0" borderId="15" xfId="46" applyNumberFormat="1" applyFont="1" applyBorder="1" applyAlignment="1">
      <alignment horizontal="right"/>
    </xf>
    <xf numFmtId="41" fontId="0" fillId="0" borderId="18" xfId="0" applyNumberFormat="1" applyBorder="1"/>
    <xf numFmtId="49" fontId="16" fillId="34" borderId="20" xfId="43" applyNumberFormat="1" applyFont="1" applyFill="1" applyBorder="1" applyAlignment="1">
      <alignment horizontal="center" vertical="center"/>
    </xf>
    <xf numFmtId="0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/>
    </xf>
    <xf numFmtId="49" fontId="16" fillId="34" borderId="20" xfId="43" applyNumberFormat="1" applyFont="1" applyFill="1" applyBorder="1" applyAlignment="1">
      <alignment horizontal="center"/>
    </xf>
    <xf numFmtId="164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 wrapText="1"/>
    </xf>
    <xf numFmtId="49" fontId="16" fillId="34" borderId="21" xfId="52" applyNumberFormat="1" applyFont="1" applyFill="1" applyBorder="1" applyAlignment="1">
      <alignment horizontal="center"/>
    </xf>
    <xf numFmtId="41" fontId="0" fillId="0" borderId="0" xfId="0" applyNumberFormat="1"/>
    <xf numFmtId="0" fontId="16" fillId="34" borderId="23" xfId="52" applyNumberFormat="1" applyFont="1" applyFill="1" applyBorder="1" applyAlignment="1">
      <alignment horizontal="center"/>
    </xf>
    <xf numFmtId="41" fontId="16" fillId="34" borderId="18" xfId="0" applyNumberFormat="1" applyFont="1" applyFill="1" applyBorder="1"/>
    <xf numFmtId="164" fontId="16" fillId="34" borderId="23" xfId="52" applyNumberFormat="1" applyFont="1" applyFill="1" applyBorder="1" applyAlignment="1">
      <alignment horizontal="center"/>
    </xf>
    <xf numFmtId="41" fontId="30" fillId="0" borderId="18" xfId="46" applyNumberFormat="1" applyFont="1" applyBorder="1" applyAlignment="1">
      <alignment horizontal="right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 xr:uid="{00000000-0005-0000-0000-00001C000000}"/>
    <cellStyle name="Comma 2 2" xfId="52" xr:uid="{E6208CBD-8E93-4FDD-9633-E791B326408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7000000}"/>
    <cellStyle name="Normal 3" xfId="45" xr:uid="{00000000-0005-0000-0000-000028000000}"/>
    <cellStyle name="Normal 4" xfId="47" xr:uid="{00000000-0005-0000-0000-000029000000}"/>
    <cellStyle name="Normal 5" xfId="48" xr:uid="{00000000-0005-0000-0000-00002A000000}"/>
    <cellStyle name="Normal 6" xfId="50" xr:uid="{D55EAAF3-1E82-4D01-A036-28A26903C8E6}"/>
    <cellStyle name="Normal 7" xfId="51" xr:uid="{7F80E2A7-8186-4EBC-B79D-D02D87689730}"/>
    <cellStyle name="Note" xfId="15" builtinId="10" customBuiltin="1"/>
    <cellStyle name="Output" xfId="10" builtinId="21" customBuiltin="1"/>
    <cellStyle name="Percent 2" xfId="42" xr:uid="{00000000-0005-0000-0000-00002D000000}"/>
    <cellStyle name="Percent 3" xfId="49" xr:uid="{00000000-0005-0000-0000-00002E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133351</xdr:colOff>
      <xdr:row>0</xdr:row>
      <xdr:rowOff>9525</xdr:rowOff>
    </xdr:from>
    <xdr:to>
      <xdr:col>14</xdr:col>
      <xdr:colOff>571501</xdr:colOff>
      <xdr:row>2</xdr:row>
      <xdr:rowOff>161755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D3B5329-B39F-41BD-AEF9-7F195B8B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6" y="9525"/>
          <a:ext cx="1828800" cy="533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28575</xdr:rowOff>
    </xdr:from>
    <xdr:to>
      <xdr:col>13</xdr:col>
      <xdr:colOff>623801</xdr:colOff>
      <xdr:row>3</xdr:row>
      <xdr:rowOff>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92BDFD1-781E-4820-BF03-8F24F7C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28575"/>
          <a:ext cx="1931901" cy="53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104776</xdr:colOff>
      <xdr:row>0</xdr:row>
      <xdr:rowOff>19050</xdr:rowOff>
    </xdr:from>
    <xdr:to>
      <xdr:col>13</xdr:col>
      <xdr:colOff>600076</xdr:colOff>
      <xdr:row>2</xdr:row>
      <xdr:rowOff>187943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A9B4972-52E2-45B2-8D61-BC7D8A005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6" y="19050"/>
          <a:ext cx="1955800" cy="537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95251</xdr:colOff>
      <xdr:row>0</xdr:row>
      <xdr:rowOff>28575</xdr:rowOff>
    </xdr:from>
    <xdr:to>
      <xdr:col>13</xdr:col>
      <xdr:colOff>590551</xdr:colOff>
      <xdr:row>3</xdr:row>
      <xdr:rowOff>618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92BFAD9-D6EC-44D2-B320-DD779CA1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1" y="28575"/>
          <a:ext cx="1955800" cy="530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114301</xdr:colOff>
      <xdr:row>0</xdr:row>
      <xdr:rowOff>28575</xdr:rowOff>
    </xdr:from>
    <xdr:to>
      <xdr:col>13</xdr:col>
      <xdr:colOff>628651</xdr:colOff>
      <xdr:row>3</xdr:row>
      <xdr:rowOff>2998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B6CE984-89CA-4413-AB35-ACC70EB1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1" y="28575"/>
          <a:ext cx="1974850" cy="533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171451</xdr:colOff>
      <xdr:row>0</xdr:row>
      <xdr:rowOff>19050</xdr:rowOff>
    </xdr:from>
    <xdr:to>
      <xdr:col>13</xdr:col>
      <xdr:colOff>647701</xdr:colOff>
      <xdr:row>2</xdr:row>
      <xdr:rowOff>182389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2302444-7099-4C36-953B-D2CFF3A5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9251" y="19050"/>
          <a:ext cx="1936750" cy="531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96AA-A187-421D-B242-6F790A526326}">
  <sheetPr>
    <tabColor rgb="FF002060"/>
    <pageSetUpPr fitToPage="1"/>
  </sheetPr>
  <dimension ref="A1:BF57"/>
  <sheetViews>
    <sheetView tabSelected="1" zoomScaleNormal="100" workbookViewId="0">
      <selection activeCell="C23" sqref="C23"/>
    </sheetView>
  </sheetViews>
  <sheetFormatPr defaultColWidth="8.81640625" defaultRowHeight="14.5" x14ac:dyDescent="0.35"/>
  <cols>
    <col min="1" max="1" width="46.26953125" customWidth="1"/>
    <col min="2" max="14" width="10.453125" customWidth="1"/>
    <col min="15" max="15" width="11.1796875" bestFit="1" customWidth="1"/>
    <col min="17" max="17" width="10.54296875" bestFit="1" customWidth="1"/>
    <col min="25" max="25" width="10.1796875" customWidth="1"/>
  </cols>
  <sheetData>
    <row r="1" spans="1:15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15" thickBot="1" x14ac:dyDescent="0.4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9">
        <v>2026</v>
      </c>
      <c r="O4" s="63" t="s">
        <v>3</v>
      </c>
    </row>
    <row r="5" spans="1:15" ht="20.149999999999999" customHeight="1" x14ac:dyDescent="0.35">
      <c r="A5" s="7" t="s">
        <v>3</v>
      </c>
      <c r="B5" s="26">
        <v>86996</v>
      </c>
      <c r="C5" s="26">
        <v>102905</v>
      </c>
      <c r="D5" s="26">
        <v>147596</v>
      </c>
      <c r="E5" s="26">
        <v>139379</v>
      </c>
      <c r="F5" s="26">
        <v>137507</v>
      </c>
      <c r="G5" s="26">
        <v>148415</v>
      </c>
      <c r="H5" s="26">
        <v>129528</v>
      </c>
      <c r="I5" s="26">
        <v>178796</v>
      </c>
      <c r="J5" s="26">
        <v>165282</v>
      </c>
      <c r="K5" s="26">
        <v>189455</v>
      </c>
      <c r="L5" s="26">
        <v>228623</v>
      </c>
      <c r="M5" s="26">
        <v>244871</v>
      </c>
      <c r="N5" s="70">
        <v>59107</v>
      </c>
      <c r="O5" s="51">
        <v>1958460</v>
      </c>
    </row>
    <row r="6" spans="1:15" ht="15" customHeight="1" x14ac:dyDescent="0.35">
      <c r="A6" s="8" t="s">
        <v>4</v>
      </c>
      <c r="B6" s="29">
        <v>79327</v>
      </c>
      <c r="C6" s="29">
        <v>93989</v>
      </c>
      <c r="D6" s="29">
        <v>134135</v>
      </c>
      <c r="E6" s="29">
        <v>124826</v>
      </c>
      <c r="F6" s="29">
        <v>123529</v>
      </c>
      <c r="G6" s="29">
        <v>134170</v>
      </c>
      <c r="H6" s="29">
        <v>118736</v>
      </c>
      <c r="I6" s="29">
        <v>167565</v>
      </c>
      <c r="J6" s="29">
        <v>152611</v>
      </c>
      <c r="K6" s="29">
        <v>169309</v>
      </c>
      <c r="L6" s="29">
        <v>165310</v>
      </c>
      <c r="M6" s="29">
        <v>135319</v>
      </c>
      <c r="N6" s="60">
        <v>21645</v>
      </c>
      <c r="O6" s="52">
        <v>1620471</v>
      </c>
    </row>
    <row r="7" spans="1:15" ht="15" customHeight="1" x14ac:dyDescent="0.35">
      <c r="A7" s="8" t="s">
        <v>5</v>
      </c>
      <c r="B7" s="29">
        <v>6988</v>
      </c>
      <c r="C7" s="29">
        <v>8201</v>
      </c>
      <c r="D7" s="29">
        <v>11567</v>
      </c>
      <c r="E7" s="29">
        <v>12984</v>
      </c>
      <c r="F7" s="29">
        <v>13332</v>
      </c>
      <c r="G7" s="29">
        <v>13618</v>
      </c>
      <c r="H7" s="29">
        <v>10009</v>
      </c>
      <c r="I7" s="29">
        <v>10073</v>
      </c>
      <c r="J7" s="29">
        <v>11645</v>
      </c>
      <c r="K7" s="29">
        <v>16621</v>
      </c>
      <c r="L7" s="29">
        <v>21548</v>
      </c>
      <c r="M7" s="29">
        <v>19568</v>
      </c>
      <c r="N7" s="60">
        <v>373</v>
      </c>
      <c r="O7" s="52">
        <v>156527</v>
      </c>
    </row>
    <row r="8" spans="1:15" ht="15" customHeight="1" x14ac:dyDescent="0.35">
      <c r="A8" s="8" t="s">
        <v>6</v>
      </c>
      <c r="B8" s="29">
        <v>681</v>
      </c>
      <c r="C8" s="29">
        <v>715</v>
      </c>
      <c r="D8" s="29">
        <v>1894</v>
      </c>
      <c r="E8" s="29">
        <v>1569</v>
      </c>
      <c r="F8" s="29">
        <v>646</v>
      </c>
      <c r="G8" s="29">
        <v>627</v>
      </c>
      <c r="H8" s="29">
        <v>783</v>
      </c>
      <c r="I8" s="29">
        <v>1158</v>
      </c>
      <c r="J8" s="60">
        <v>1026</v>
      </c>
      <c r="K8" s="60">
        <v>3525</v>
      </c>
      <c r="L8" s="60">
        <v>41765</v>
      </c>
      <c r="M8" s="60">
        <v>89984</v>
      </c>
      <c r="N8" s="60">
        <v>37089</v>
      </c>
      <c r="O8" s="52">
        <v>181462</v>
      </c>
    </row>
    <row r="9" spans="1:15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x14ac:dyDescent="0.35">
      <c r="A10" s="15" t="s">
        <v>8</v>
      </c>
      <c r="B10" s="26">
        <v>22848</v>
      </c>
      <c r="C10" s="26">
        <v>24758</v>
      </c>
      <c r="D10" s="26">
        <v>28727</v>
      </c>
      <c r="E10" s="26">
        <v>32066</v>
      </c>
      <c r="F10" s="26">
        <v>28478</v>
      </c>
      <c r="G10" s="26">
        <v>24129</v>
      </c>
      <c r="H10" s="26">
        <v>21376</v>
      </c>
      <c r="I10" s="26">
        <v>22020</v>
      </c>
      <c r="J10" s="26">
        <v>25953</v>
      </c>
      <c r="K10" s="26">
        <v>37496</v>
      </c>
      <c r="L10" s="26">
        <v>41394</v>
      </c>
      <c r="M10" s="26">
        <v>51373</v>
      </c>
      <c r="N10" s="70">
        <v>13029</v>
      </c>
      <c r="O10" s="51">
        <v>373647</v>
      </c>
    </row>
    <row r="11" spans="1:15" ht="15" customHeight="1" x14ac:dyDescent="0.35">
      <c r="A11" s="8" t="s">
        <v>4</v>
      </c>
      <c r="B11" s="29">
        <v>19839</v>
      </c>
      <c r="C11" s="29">
        <v>21807</v>
      </c>
      <c r="D11" s="29">
        <v>25070</v>
      </c>
      <c r="E11" s="29">
        <v>27118</v>
      </c>
      <c r="F11" s="29">
        <v>23101</v>
      </c>
      <c r="G11" s="29">
        <v>19310</v>
      </c>
      <c r="H11" s="29">
        <v>17421</v>
      </c>
      <c r="I11" s="29">
        <v>18475</v>
      </c>
      <c r="J11" s="29">
        <v>21766</v>
      </c>
      <c r="K11" s="29">
        <v>30913</v>
      </c>
      <c r="L11" s="29">
        <v>28752</v>
      </c>
      <c r="M11" s="29">
        <v>25048</v>
      </c>
      <c r="N11" s="60">
        <v>2762</v>
      </c>
      <c r="O11" s="52">
        <v>281382</v>
      </c>
    </row>
    <row r="12" spans="1:15" ht="15" customHeight="1" x14ac:dyDescent="0.35">
      <c r="A12" s="8" t="s">
        <v>5</v>
      </c>
      <c r="B12" s="29">
        <v>2764</v>
      </c>
      <c r="C12" s="29">
        <v>2740</v>
      </c>
      <c r="D12" s="29">
        <v>3446</v>
      </c>
      <c r="E12" s="29">
        <v>4763</v>
      </c>
      <c r="F12" s="29">
        <v>5262</v>
      </c>
      <c r="G12" s="29">
        <v>4755</v>
      </c>
      <c r="H12" s="29">
        <v>3888</v>
      </c>
      <c r="I12" s="29">
        <v>3425</v>
      </c>
      <c r="J12" s="29">
        <v>3941</v>
      </c>
      <c r="K12" s="29">
        <v>5277</v>
      </c>
      <c r="L12" s="29">
        <v>5027</v>
      </c>
      <c r="M12" s="29">
        <v>8103</v>
      </c>
      <c r="N12" s="60">
        <v>243</v>
      </c>
      <c r="O12" s="52">
        <v>53634</v>
      </c>
    </row>
    <row r="13" spans="1:15" ht="15" customHeight="1" x14ac:dyDescent="0.35">
      <c r="A13" s="8" t="s">
        <v>6</v>
      </c>
      <c r="B13" s="29">
        <v>245</v>
      </c>
      <c r="C13" s="29">
        <v>211</v>
      </c>
      <c r="D13" s="29">
        <v>211</v>
      </c>
      <c r="E13" s="29">
        <v>185</v>
      </c>
      <c r="F13" s="29">
        <v>115</v>
      </c>
      <c r="G13" s="29">
        <v>64</v>
      </c>
      <c r="H13" s="29">
        <v>67</v>
      </c>
      <c r="I13" s="29">
        <v>120</v>
      </c>
      <c r="J13" s="60">
        <v>246</v>
      </c>
      <c r="K13" s="60">
        <v>1306</v>
      </c>
      <c r="L13" s="60">
        <v>7615</v>
      </c>
      <c r="M13" s="60">
        <v>18222</v>
      </c>
      <c r="N13" s="60">
        <v>10024</v>
      </c>
      <c r="O13" s="52">
        <v>38631</v>
      </c>
    </row>
    <row r="14" spans="1:15" ht="15" customHeight="1" x14ac:dyDescent="0.3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8" t="s">
        <v>10</v>
      </c>
      <c r="B15" s="29">
        <v>4968</v>
      </c>
      <c r="C15" s="29">
        <v>5922</v>
      </c>
      <c r="D15" s="29">
        <v>7204</v>
      </c>
      <c r="E15" s="29">
        <v>8447</v>
      </c>
      <c r="F15" s="29">
        <v>7152</v>
      </c>
      <c r="G15" s="29">
        <v>4646</v>
      </c>
      <c r="H15" s="29">
        <v>4189</v>
      </c>
      <c r="I15" s="29">
        <v>5379</v>
      </c>
      <c r="J15" s="29">
        <v>7236</v>
      </c>
      <c r="K15" s="29">
        <v>10444</v>
      </c>
      <c r="L15" s="29">
        <v>11214</v>
      </c>
      <c r="M15" s="29">
        <v>10598</v>
      </c>
      <c r="N15" s="60">
        <v>1179</v>
      </c>
      <c r="O15" s="52">
        <v>88578</v>
      </c>
    </row>
    <row r="16" spans="1:15" ht="15" customHeight="1" x14ac:dyDescent="0.35">
      <c r="A16" s="8" t="s">
        <v>11</v>
      </c>
      <c r="B16" s="29">
        <v>3372</v>
      </c>
      <c r="C16" s="29">
        <v>3610</v>
      </c>
      <c r="D16" s="29">
        <v>3537</v>
      </c>
      <c r="E16" s="29">
        <v>3813</v>
      </c>
      <c r="F16" s="29">
        <v>3649</v>
      </c>
      <c r="G16" s="29">
        <v>2988</v>
      </c>
      <c r="H16" s="29">
        <v>2593</v>
      </c>
      <c r="I16" s="29">
        <v>3393</v>
      </c>
      <c r="J16" s="29">
        <v>3885</v>
      </c>
      <c r="K16" s="29">
        <v>5205</v>
      </c>
      <c r="L16" s="29">
        <v>5149</v>
      </c>
      <c r="M16" s="29">
        <v>4395</v>
      </c>
      <c r="N16" s="60">
        <v>864</v>
      </c>
      <c r="O16" s="52">
        <v>46453</v>
      </c>
    </row>
    <row r="17" spans="1:58" ht="15" customHeight="1" x14ac:dyDescent="0.35">
      <c r="A17" s="8" t="s">
        <v>12</v>
      </c>
      <c r="B17" s="29">
        <v>11499</v>
      </c>
      <c r="C17" s="29">
        <v>12275</v>
      </c>
      <c r="D17" s="29">
        <v>14329</v>
      </c>
      <c r="E17" s="29">
        <v>14858</v>
      </c>
      <c r="F17" s="29">
        <v>12300</v>
      </c>
      <c r="G17" s="29">
        <v>11676</v>
      </c>
      <c r="H17" s="29">
        <v>10639</v>
      </c>
      <c r="I17" s="29">
        <v>9703</v>
      </c>
      <c r="J17" s="29">
        <v>10645</v>
      </c>
      <c r="K17" s="29">
        <v>15264</v>
      </c>
      <c r="L17" s="29">
        <v>12389</v>
      </c>
      <c r="M17" s="29">
        <v>10055</v>
      </c>
      <c r="N17" s="60">
        <v>719</v>
      </c>
      <c r="O17" s="52">
        <v>146351</v>
      </c>
    </row>
    <row r="18" spans="1:58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58" ht="15" customHeight="1" x14ac:dyDescent="0.35">
      <c r="A19" s="15" t="s">
        <v>8</v>
      </c>
      <c r="B19" s="26">
        <v>49194</v>
      </c>
      <c r="C19" s="26">
        <v>58775</v>
      </c>
      <c r="D19" s="26">
        <v>82528</v>
      </c>
      <c r="E19" s="26">
        <v>70239</v>
      </c>
      <c r="F19" s="26">
        <v>69987</v>
      </c>
      <c r="G19" s="26">
        <v>78232</v>
      </c>
      <c r="H19" s="26">
        <v>67605</v>
      </c>
      <c r="I19" s="26">
        <v>70599</v>
      </c>
      <c r="J19" s="26">
        <v>84473</v>
      </c>
      <c r="K19" s="26">
        <v>93143</v>
      </c>
      <c r="L19" s="26">
        <v>114023</v>
      </c>
      <c r="M19" s="26">
        <v>116189</v>
      </c>
      <c r="N19" s="70">
        <v>24752</v>
      </c>
      <c r="O19" s="51">
        <v>979739</v>
      </c>
    </row>
    <row r="20" spans="1:58" ht="15" customHeight="1" x14ac:dyDescent="0.35">
      <c r="A20" s="8" t="s">
        <v>4</v>
      </c>
      <c r="B20" s="29">
        <v>45868</v>
      </c>
      <c r="C20" s="29">
        <v>54887</v>
      </c>
      <c r="D20" s="29">
        <v>77469</v>
      </c>
      <c r="E20" s="29">
        <v>65792</v>
      </c>
      <c r="F20" s="29">
        <v>65792</v>
      </c>
      <c r="G20" s="29">
        <v>73339</v>
      </c>
      <c r="H20" s="29">
        <v>63389</v>
      </c>
      <c r="I20" s="29">
        <v>65981</v>
      </c>
      <c r="J20" s="29">
        <v>78179</v>
      </c>
      <c r="K20" s="29">
        <v>81416</v>
      </c>
      <c r="L20" s="29">
        <v>76831</v>
      </c>
      <c r="M20" s="29">
        <v>59068</v>
      </c>
      <c r="N20" s="60">
        <v>10238</v>
      </c>
      <c r="O20" s="52">
        <v>818249</v>
      </c>
    </row>
    <row r="21" spans="1:58" ht="15" customHeight="1" x14ac:dyDescent="0.35">
      <c r="A21" s="8" t="s">
        <v>5</v>
      </c>
      <c r="B21" s="29">
        <v>3126</v>
      </c>
      <c r="C21" s="29">
        <v>3699</v>
      </c>
      <c r="D21" s="29">
        <v>4763</v>
      </c>
      <c r="E21" s="29">
        <v>4223</v>
      </c>
      <c r="F21" s="29">
        <v>3991</v>
      </c>
      <c r="G21" s="29">
        <v>4600</v>
      </c>
      <c r="H21" s="29">
        <v>3920</v>
      </c>
      <c r="I21" s="29">
        <v>4165</v>
      </c>
      <c r="J21" s="29">
        <v>5828</v>
      </c>
      <c r="K21" s="29">
        <v>10040</v>
      </c>
      <c r="L21" s="29">
        <v>15362</v>
      </c>
      <c r="M21" s="29">
        <v>10648</v>
      </c>
      <c r="N21" s="60">
        <v>56</v>
      </c>
      <c r="O21" s="52">
        <v>74421</v>
      </c>
    </row>
    <row r="22" spans="1:58" ht="15" customHeight="1" x14ac:dyDescent="0.35">
      <c r="A22" s="8" t="s">
        <v>6</v>
      </c>
      <c r="B22" s="29">
        <v>200</v>
      </c>
      <c r="C22" s="29">
        <v>189</v>
      </c>
      <c r="D22" s="29">
        <v>296</v>
      </c>
      <c r="E22" s="29">
        <v>224</v>
      </c>
      <c r="F22" s="29">
        <v>204</v>
      </c>
      <c r="G22" s="29">
        <v>293</v>
      </c>
      <c r="H22" s="29">
        <v>296</v>
      </c>
      <c r="I22" s="29">
        <v>453</v>
      </c>
      <c r="J22" s="60">
        <v>466</v>
      </c>
      <c r="K22" s="60">
        <v>1687</v>
      </c>
      <c r="L22" s="60">
        <v>21830</v>
      </c>
      <c r="M22" s="60">
        <v>46473</v>
      </c>
      <c r="N22" s="60">
        <v>14458</v>
      </c>
      <c r="O22" s="52">
        <v>87069</v>
      </c>
    </row>
    <row r="23" spans="1:58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>
        <f t="shared" ref="AJ23:BF23" si="0">SUM(V20:V22)</f>
        <v>0</v>
      </c>
      <c r="AK23" s="68">
        <f t="shared" si="0"/>
        <v>0</v>
      </c>
      <c r="AL23" s="68">
        <f t="shared" si="0"/>
        <v>0</v>
      </c>
      <c r="AM23" s="68">
        <f t="shared" si="0"/>
        <v>0</v>
      </c>
      <c r="AN23" s="68">
        <f t="shared" si="0"/>
        <v>0</v>
      </c>
      <c r="AO23" s="68">
        <f t="shared" si="0"/>
        <v>0</v>
      </c>
      <c r="AP23" s="68">
        <f t="shared" si="0"/>
        <v>0</v>
      </c>
      <c r="AQ23" s="68">
        <f t="shared" si="0"/>
        <v>0</v>
      </c>
      <c r="AR23" s="68">
        <f t="shared" si="0"/>
        <v>0</v>
      </c>
      <c r="AS23" s="68">
        <f t="shared" si="0"/>
        <v>0</v>
      </c>
      <c r="AT23" s="68">
        <f t="shared" si="0"/>
        <v>0</v>
      </c>
      <c r="AU23" s="68">
        <f t="shared" si="0"/>
        <v>0</v>
      </c>
      <c r="AV23" s="68">
        <f t="shared" si="0"/>
        <v>0</v>
      </c>
      <c r="AW23" s="68">
        <f t="shared" si="0"/>
        <v>0</v>
      </c>
      <c r="AX23" s="68">
        <f t="shared" si="0"/>
        <v>0</v>
      </c>
      <c r="AY23" s="68">
        <f t="shared" si="0"/>
        <v>0</v>
      </c>
      <c r="AZ23" s="68">
        <f t="shared" si="0"/>
        <v>0</v>
      </c>
      <c r="BA23" s="68">
        <f t="shared" si="0"/>
        <v>0</v>
      </c>
      <c r="BB23" s="68">
        <f t="shared" si="0"/>
        <v>0</v>
      </c>
      <c r="BC23" s="68">
        <f t="shared" si="0"/>
        <v>0</v>
      </c>
      <c r="BD23" s="68">
        <f t="shared" si="0"/>
        <v>0</v>
      </c>
      <c r="BE23" s="68">
        <f t="shared" si="0"/>
        <v>0</v>
      </c>
      <c r="BF23" s="68">
        <f t="shared" si="0"/>
        <v>0</v>
      </c>
    </row>
    <row r="24" spans="1:58" ht="15" customHeight="1" x14ac:dyDescent="0.35">
      <c r="A24" s="8" t="s">
        <v>14</v>
      </c>
      <c r="B24" s="29">
        <v>41148</v>
      </c>
      <c r="C24" s="29">
        <v>49400</v>
      </c>
      <c r="D24" s="29">
        <v>71552</v>
      </c>
      <c r="E24" s="29">
        <v>58845</v>
      </c>
      <c r="F24" s="29">
        <v>58711</v>
      </c>
      <c r="G24" s="29">
        <v>63201</v>
      </c>
      <c r="H24" s="29">
        <v>51398</v>
      </c>
      <c r="I24" s="29">
        <v>54160</v>
      </c>
      <c r="J24" s="29">
        <v>60764</v>
      </c>
      <c r="K24" s="29">
        <v>52299</v>
      </c>
      <c r="L24" s="29">
        <v>49452</v>
      </c>
      <c r="M24" s="29">
        <v>47839</v>
      </c>
      <c r="N24" s="60">
        <v>9685</v>
      </c>
      <c r="O24" s="52">
        <v>668454</v>
      </c>
    </row>
    <row r="25" spans="1:58" ht="15" customHeight="1" x14ac:dyDescent="0.35">
      <c r="A25" s="8" t="s">
        <v>42</v>
      </c>
      <c r="B25" s="29">
        <v>4720</v>
      </c>
      <c r="C25" s="29">
        <v>5487</v>
      </c>
      <c r="D25" s="29">
        <v>5917</v>
      </c>
      <c r="E25" s="29">
        <v>6947</v>
      </c>
      <c r="F25" s="29">
        <v>7081</v>
      </c>
      <c r="G25" s="29">
        <v>10138</v>
      </c>
      <c r="H25" s="29">
        <v>11991</v>
      </c>
      <c r="I25" s="29">
        <v>11821</v>
      </c>
      <c r="J25" s="29">
        <v>17415</v>
      </c>
      <c r="K25" s="29">
        <v>29117</v>
      </c>
      <c r="L25" s="29">
        <v>27379</v>
      </c>
      <c r="M25" s="29">
        <v>11229</v>
      </c>
      <c r="N25" s="60">
        <v>553</v>
      </c>
      <c r="O25" s="52">
        <v>149795</v>
      </c>
    </row>
    <row r="26" spans="1:58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58" ht="15" customHeight="1" x14ac:dyDescent="0.35">
      <c r="A27" s="15" t="s">
        <v>8</v>
      </c>
      <c r="B27" s="26">
        <v>14953</v>
      </c>
      <c r="C27" s="26">
        <v>19371</v>
      </c>
      <c r="D27" s="26">
        <v>36335</v>
      </c>
      <c r="E27" s="26">
        <v>37066</v>
      </c>
      <c r="F27" s="26">
        <v>39033</v>
      </c>
      <c r="G27" s="26">
        <v>46052</v>
      </c>
      <c r="H27" s="26">
        <v>40547</v>
      </c>
      <c r="I27" s="26">
        <v>86172</v>
      </c>
      <c r="J27" s="26">
        <v>54842</v>
      </c>
      <c r="K27" s="26">
        <v>58794</v>
      </c>
      <c r="L27" s="26">
        <v>73199</v>
      </c>
      <c r="M27" s="26">
        <v>77309</v>
      </c>
      <c r="N27" s="70">
        <v>21326</v>
      </c>
      <c r="O27" s="51">
        <v>604999</v>
      </c>
    </row>
    <row r="28" spans="1:58" ht="15" customHeight="1" x14ac:dyDescent="0.35">
      <c r="A28" s="8" t="s">
        <v>4</v>
      </c>
      <c r="B28" s="29">
        <v>13620</v>
      </c>
      <c r="C28" s="29">
        <v>17294</v>
      </c>
      <c r="D28" s="29">
        <v>31595</v>
      </c>
      <c r="E28" s="29">
        <v>31915</v>
      </c>
      <c r="F28" s="29">
        <v>34630</v>
      </c>
      <c r="G28" s="29">
        <v>41521</v>
      </c>
      <c r="H28" s="29">
        <v>37926</v>
      </c>
      <c r="I28" s="29">
        <v>83109</v>
      </c>
      <c r="J28" s="29">
        <v>52666</v>
      </c>
      <c r="K28" s="29">
        <v>56980</v>
      </c>
      <c r="L28" s="29">
        <v>59727</v>
      </c>
      <c r="M28" s="29">
        <v>51203</v>
      </c>
      <c r="N28" s="60">
        <v>8645</v>
      </c>
      <c r="O28" s="52">
        <v>520831</v>
      </c>
    </row>
    <row r="29" spans="1:58" ht="15" customHeight="1" x14ac:dyDescent="0.35">
      <c r="A29" s="8" t="s">
        <v>5</v>
      </c>
      <c r="B29" s="29">
        <v>1098</v>
      </c>
      <c r="C29" s="29">
        <v>1762</v>
      </c>
      <c r="D29" s="29">
        <v>3354</v>
      </c>
      <c r="E29" s="29">
        <v>3996</v>
      </c>
      <c r="F29" s="29">
        <v>4078</v>
      </c>
      <c r="G29" s="29">
        <v>4263</v>
      </c>
      <c r="H29" s="29">
        <v>2201</v>
      </c>
      <c r="I29" s="29">
        <v>2483</v>
      </c>
      <c r="J29" s="29">
        <v>1876</v>
      </c>
      <c r="K29" s="29">
        <v>1304</v>
      </c>
      <c r="L29" s="29">
        <v>1159</v>
      </c>
      <c r="M29" s="29">
        <v>817</v>
      </c>
      <c r="N29" s="60">
        <v>74</v>
      </c>
      <c r="O29" s="52">
        <v>28465</v>
      </c>
    </row>
    <row r="30" spans="1:58" ht="15" customHeight="1" x14ac:dyDescent="0.35">
      <c r="A30" s="8" t="s">
        <v>6</v>
      </c>
      <c r="B30" s="29">
        <v>235</v>
      </c>
      <c r="C30" s="29">
        <v>315</v>
      </c>
      <c r="D30" s="29">
        <v>1386</v>
      </c>
      <c r="E30" s="29">
        <v>1155</v>
      </c>
      <c r="F30" s="29">
        <v>325</v>
      </c>
      <c r="G30" s="29">
        <v>268</v>
      </c>
      <c r="H30" s="29">
        <v>420</v>
      </c>
      <c r="I30" s="29">
        <v>580</v>
      </c>
      <c r="J30" s="60">
        <v>300</v>
      </c>
      <c r="K30" s="60">
        <v>510</v>
      </c>
      <c r="L30" s="60">
        <v>12313</v>
      </c>
      <c r="M30" s="60">
        <v>25289</v>
      </c>
      <c r="N30" s="60">
        <v>12607</v>
      </c>
      <c r="O30" s="52">
        <v>55703</v>
      </c>
    </row>
    <row r="31" spans="1:58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58" ht="15" customHeight="1" x14ac:dyDescent="0.35">
      <c r="A32" s="8" t="s">
        <v>16</v>
      </c>
      <c r="B32" s="29">
        <v>3759</v>
      </c>
      <c r="C32" s="29">
        <v>7799</v>
      </c>
      <c r="D32" s="29">
        <v>11212</v>
      </c>
      <c r="E32" s="29">
        <v>11878</v>
      </c>
      <c r="F32" s="29">
        <v>11760</v>
      </c>
      <c r="G32" s="29">
        <v>15556</v>
      </c>
      <c r="H32" s="29">
        <v>14458</v>
      </c>
      <c r="I32" s="29">
        <v>15654</v>
      </c>
      <c r="J32" s="29">
        <v>19033</v>
      </c>
      <c r="K32" s="29">
        <v>25553</v>
      </c>
      <c r="L32" s="29">
        <v>21169</v>
      </c>
      <c r="M32" s="29">
        <v>12356</v>
      </c>
      <c r="N32" s="60">
        <v>2352</v>
      </c>
      <c r="O32" s="52">
        <v>172539</v>
      </c>
    </row>
    <row r="33" spans="1:15" ht="15" customHeight="1" x14ac:dyDescent="0.35">
      <c r="A33" s="8" t="s">
        <v>17</v>
      </c>
      <c r="B33" s="29">
        <v>9525</v>
      </c>
      <c r="C33" s="29">
        <v>8458</v>
      </c>
      <c r="D33" s="29">
        <v>16882</v>
      </c>
      <c r="E33" s="29">
        <v>16324</v>
      </c>
      <c r="F33" s="29">
        <v>18753</v>
      </c>
      <c r="G33" s="29">
        <v>20494</v>
      </c>
      <c r="H33" s="29">
        <v>17490</v>
      </c>
      <c r="I33" s="29">
        <v>60614</v>
      </c>
      <c r="J33" s="29">
        <v>24492</v>
      </c>
      <c r="K33" s="29">
        <v>20411</v>
      </c>
      <c r="L33" s="29">
        <v>23686</v>
      </c>
      <c r="M33" s="29">
        <v>20881</v>
      </c>
      <c r="N33" s="60">
        <v>5412</v>
      </c>
      <c r="O33" s="52">
        <v>263422</v>
      </c>
    </row>
    <row r="34" spans="1:15" ht="15" customHeight="1" x14ac:dyDescent="0.35">
      <c r="A34" s="8" t="s">
        <v>40</v>
      </c>
      <c r="B34" s="29">
        <v>336</v>
      </c>
      <c r="C34" s="29">
        <v>1037</v>
      </c>
      <c r="D34" s="29">
        <v>3501</v>
      </c>
      <c r="E34" s="29">
        <v>3713</v>
      </c>
      <c r="F34" s="29">
        <v>4117</v>
      </c>
      <c r="G34" s="29">
        <v>5471</v>
      </c>
      <c r="H34" s="29">
        <v>5978</v>
      </c>
      <c r="I34" s="29">
        <v>6841</v>
      </c>
      <c r="J34" s="29">
        <v>9141</v>
      </c>
      <c r="K34" s="29">
        <v>11016</v>
      </c>
      <c r="L34" s="29">
        <v>14872</v>
      </c>
      <c r="M34" s="29">
        <v>17966</v>
      </c>
      <c r="N34" s="60">
        <v>881</v>
      </c>
      <c r="O34" s="52">
        <v>84870</v>
      </c>
    </row>
    <row r="35" spans="1:15" ht="20.149999999999999" customHeight="1" x14ac:dyDescent="0.35">
      <c r="A35" s="9" t="s">
        <v>18</v>
      </c>
      <c r="B35" s="42">
        <v>1</v>
      </c>
      <c r="C35" s="43">
        <v>1</v>
      </c>
      <c r="D35" s="43">
        <v>6</v>
      </c>
      <c r="E35" s="43">
        <v>8</v>
      </c>
      <c r="F35" s="43">
        <v>9</v>
      </c>
      <c r="G35" s="42">
        <v>2</v>
      </c>
      <c r="H35" s="42">
        <v>0</v>
      </c>
      <c r="I35" s="42">
        <v>5</v>
      </c>
      <c r="J35" s="44">
        <v>14</v>
      </c>
      <c r="K35" s="44">
        <v>22</v>
      </c>
      <c r="L35" s="44">
        <v>7</v>
      </c>
      <c r="M35" s="44">
        <v>0</v>
      </c>
      <c r="N35" s="44">
        <v>0</v>
      </c>
      <c r="O35" s="53">
        <v>75</v>
      </c>
    </row>
    <row r="36" spans="1:15" ht="15" customHeight="1" x14ac:dyDescent="0.35">
      <c r="A36" s="8" t="s">
        <v>4</v>
      </c>
      <c r="B36" s="45">
        <v>0</v>
      </c>
      <c r="C36" s="37">
        <v>1</v>
      </c>
      <c r="D36" s="37">
        <v>1</v>
      </c>
      <c r="E36" s="37">
        <v>1</v>
      </c>
      <c r="F36" s="38">
        <v>6</v>
      </c>
      <c r="G36" s="57">
        <v>0</v>
      </c>
      <c r="H36" s="57">
        <v>0</v>
      </c>
      <c r="I36" s="57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56">
        <v>9</v>
      </c>
    </row>
    <row r="37" spans="1:15" ht="15" customHeight="1" x14ac:dyDescent="0.35">
      <c r="A37" s="8" t="s">
        <v>5</v>
      </c>
      <c r="B37" s="45">
        <v>0</v>
      </c>
      <c r="C37" s="45">
        <v>0</v>
      </c>
      <c r="D37" s="37">
        <v>4</v>
      </c>
      <c r="E37" s="37">
        <v>2</v>
      </c>
      <c r="F37" s="38">
        <v>1</v>
      </c>
      <c r="G37" s="57">
        <v>0</v>
      </c>
      <c r="H37" s="57">
        <v>0</v>
      </c>
      <c r="I37" s="57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56">
        <v>7</v>
      </c>
    </row>
    <row r="38" spans="1:15" ht="15" customHeight="1" thickBot="1" x14ac:dyDescent="0.4">
      <c r="A38" s="12" t="s">
        <v>6</v>
      </c>
      <c r="B38" s="47">
        <v>1</v>
      </c>
      <c r="C38" s="47">
        <v>0</v>
      </c>
      <c r="D38" s="47">
        <v>1</v>
      </c>
      <c r="E38" s="47">
        <v>5</v>
      </c>
      <c r="F38" s="58">
        <v>2</v>
      </c>
      <c r="G38" s="58">
        <v>2</v>
      </c>
      <c r="H38" s="58">
        <v>0</v>
      </c>
      <c r="I38" s="47">
        <v>5</v>
      </c>
      <c r="J38" s="48">
        <v>14</v>
      </c>
      <c r="K38" s="48">
        <v>22</v>
      </c>
      <c r="L38" s="48">
        <v>7</v>
      </c>
      <c r="M38" s="48">
        <v>0</v>
      </c>
      <c r="N38" s="48">
        <v>0</v>
      </c>
      <c r="O38" s="59">
        <v>59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9.15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35">
      <c r="A53" s="14" t="s">
        <v>41</v>
      </c>
      <c r="B53" s="3"/>
      <c r="C53" s="3"/>
      <c r="D53" s="3"/>
      <c r="E53" s="3"/>
    </row>
    <row r="54" spans="1:14" x14ac:dyDescent="0.35">
      <c r="A54" s="14" t="s">
        <v>31</v>
      </c>
      <c r="B54" s="3"/>
      <c r="C54" s="3"/>
      <c r="D54" s="3"/>
      <c r="E54" s="3"/>
    </row>
    <row r="55" spans="1:14" ht="29.15" customHeight="1" x14ac:dyDescent="0.35">
      <c r="A55" s="13" t="s">
        <v>32</v>
      </c>
      <c r="B55" s="3"/>
      <c r="C55" s="3"/>
      <c r="D55" s="3"/>
      <c r="E55" s="3"/>
    </row>
    <row r="56" spans="1:14" x14ac:dyDescent="0.35">
      <c r="A56" s="14" t="s">
        <v>33</v>
      </c>
      <c r="B56" s="3"/>
      <c r="C56" s="3"/>
      <c r="D56" s="3"/>
      <c r="E56" s="3"/>
    </row>
    <row r="57" spans="1:14" x14ac:dyDescent="0.35">
      <c r="A57" s="14" t="s">
        <v>50</v>
      </c>
      <c r="B57" s="3"/>
      <c r="C57" s="3"/>
      <c r="D57" s="3"/>
      <c r="E57" s="3"/>
    </row>
  </sheetData>
  <pageMargins left="0.7" right="0.7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C45D-9826-43E2-A57A-07EDBB8011F7}">
  <sheetPr>
    <tabColor rgb="FF002060"/>
    <pageSetUpPr fitToPage="1"/>
  </sheetPr>
  <dimension ref="A1:O57"/>
  <sheetViews>
    <sheetView zoomScaleNormal="100" workbookViewId="0">
      <selection activeCell="E28" sqref="E28"/>
    </sheetView>
  </sheetViews>
  <sheetFormatPr defaultColWidth="8.7265625" defaultRowHeight="14.5" x14ac:dyDescent="0.35"/>
  <cols>
    <col min="1" max="1" width="46.26953125" style="17" customWidth="1"/>
    <col min="2" max="15" width="10.453125" customWidth="1"/>
  </cols>
  <sheetData>
    <row r="1" spans="1:15" x14ac:dyDescent="0.35">
      <c r="A1" s="4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15" thickBot="1" x14ac:dyDescent="0.4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s="3" customFormat="1" ht="15" customHeight="1" x14ac:dyDescent="0.35">
      <c r="A4" s="64" t="s">
        <v>2</v>
      </c>
      <c r="B4" s="65">
        <v>2014</v>
      </c>
      <c r="C4" s="65">
        <v>2015</v>
      </c>
      <c r="D4" s="65">
        <v>2016</v>
      </c>
      <c r="E4" s="65">
        <v>2017</v>
      </c>
      <c r="F4" s="65">
        <v>2018</v>
      </c>
      <c r="G4" s="65">
        <v>2019</v>
      </c>
      <c r="H4" s="65">
        <v>2020</v>
      </c>
      <c r="I4" s="65">
        <v>2021</v>
      </c>
      <c r="J4" s="65">
        <v>2022</v>
      </c>
      <c r="K4" s="65">
        <v>2023</v>
      </c>
      <c r="L4" s="65">
        <v>2024</v>
      </c>
      <c r="M4" s="65">
        <v>2025</v>
      </c>
      <c r="N4" s="71">
        <v>2026</v>
      </c>
      <c r="O4" s="66" t="s">
        <v>3</v>
      </c>
    </row>
    <row r="5" spans="1:15" s="3" customFormat="1" ht="20.149999999999999" customHeight="1" x14ac:dyDescent="0.35">
      <c r="A5" s="50" t="s">
        <v>3</v>
      </c>
      <c r="B5" s="26">
        <v>38081</v>
      </c>
      <c r="C5" s="26">
        <v>47709</v>
      </c>
      <c r="D5" s="26">
        <v>70015</v>
      </c>
      <c r="E5" s="26">
        <v>62342</v>
      </c>
      <c r="F5" s="26">
        <v>58608</v>
      </c>
      <c r="G5" s="26">
        <v>64913</v>
      </c>
      <c r="H5" s="26">
        <v>52918</v>
      </c>
      <c r="I5" s="26">
        <v>96511</v>
      </c>
      <c r="J5" s="26">
        <v>72565</v>
      </c>
      <c r="K5" s="26">
        <v>64801</v>
      </c>
      <c r="L5" s="26">
        <v>65736</v>
      </c>
      <c r="M5" s="26">
        <v>68570</v>
      </c>
      <c r="N5" s="70">
        <v>15727</v>
      </c>
      <c r="O5" s="51">
        <v>778496</v>
      </c>
    </row>
    <row r="6" spans="1:15" s="3" customFormat="1" ht="15" customHeight="1" x14ac:dyDescent="0.35">
      <c r="A6" s="28" t="s">
        <v>4</v>
      </c>
      <c r="B6" s="29">
        <v>35188</v>
      </c>
      <c r="C6" s="29">
        <v>43901</v>
      </c>
      <c r="D6" s="29">
        <v>65105</v>
      </c>
      <c r="E6" s="29">
        <v>57943</v>
      </c>
      <c r="F6" s="29">
        <v>54608</v>
      </c>
      <c r="G6" s="29">
        <v>61297</v>
      </c>
      <c r="H6" s="29">
        <v>50129</v>
      </c>
      <c r="I6" s="29">
        <v>92712</v>
      </c>
      <c r="J6" s="29">
        <v>69759</v>
      </c>
      <c r="K6" s="29">
        <v>62692</v>
      </c>
      <c r="L6" s="29">
        <v>58564</v>
      </c>
      <c r="M6" s="29">
        <v>53183</v>
      </c>
      <c r="N6" s="60">
        <v>10214</v>
      </c>
      <c r="O6" s="52">
        <v>715295</v>
      </c>
    </row>
    <row r="7" spans="1:15" s="3" customFormat="1" ht="15" customHeight="1" x14ac:dyDescent="0.35">
      <c r="A7" s="28" t="s">
        <v>5</v>
      </c>
      <c r="B7" s="29">
        <v>2777</v>
      </c>
      <c r="C7" s="29">
        <v>3722</v>
      </c>
      <c r="D7" s="29">
        <v>4772</v>
      </c>
      <c r="E7" s="29">
        <v>4278</v>
      </c>
      <c r="F7" s="29">
        <v>3907</v>
      </c>
      <c r="G7" s="29">
        <v>3534</v>
      </c>
      <c r="H7" s="29">
        <v>2721</v>
      </c>
      <c r="I7" s="29">
        <v>3669</v>
      </c>
      <c r="J7" s="29">
        <v>2710</v>
      </c>
      <c r="K7" s="29">
        <v>1804</v>
      </c>
      <c r="L7" s="29">
        <v>3667</v>
      </c>
      <c r="M7" s="29">
        <v>5376</v>
      </c>
      <c r="N7" s="60">
        <v>123</v>
      </c>
      <c r="O7" s="52">
        <v>43060</v>
      </c>
    </row>
    <row r="8" spans="1:15" s="3" customFormat="1" ht="15" customHeight="1" x14ac:dyDescent="0.35">
      <c r="A8" s="8" t="s">
        <v>38</v>
      </c>
      <c r="B8" s="29">
        <v>116</v>
      </c>
      <c r="C8" s="29">
        <v>86</v>
      </c>
      <c r="D8" s="29">
        <v>138</v>
      </c>
      <c r="E8" s="29">
        <v>121</v>
      </c>
      <c r="F8" s="29">
        <v>93</v>
      </c>
      <c r="G8" s="29">
        <v>82</v>
      </c>
      <c r="H8" s="29">
        <v>68</v>
      </c>
      <c r="I8" s="29">
        <v>130</v>
      </c>
      <c r="J8" s="29">
        <v>96</v>
      </c>
      <c r="K8" s="29">
        <v>305</v>
      </c>
      <c r="L8" s="29">
        <v>3505</v>
      </c>
      <c r="M8" s="29">
        <v>10011</v>
      </c>
      <c r="N8" s="60">
        <v>5390</v>
      </c>
      <c r="O8" s="52">
        <v>20141</v>
      </c>
    </row>
    <row r="9" spans="1:15" s="3" customFormat="1" ht="20.149999999999999" customHeight="1" x14ac:dyDescent="0.3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s="3" customFormat="1" ht="15" customHeight="1" x14ac:dyDescent="0.35">
      <c r="A10" s="54" t="s">
        <v>8</v>
      </c>
      <c r="B10" s="26">
        <v>6938</v>
      </c>
      <c r="C10" s="26">
        <v>6750</v>
      </c>
      <c r="D10" s="26">
        <v>8540</v>
      </c>
      <c r="E10" s="26">
        <v>9466</v>
      </c>
      <c r="F10" s="26">
        <v>8769</v>
      </c>
      <c r="G10" s="26">
        <v>7882</v>
      </c>
      <c r="H10" s="26">
        <v>6990</v>
      </c>
      <c r="I10" s="26">
        <v>8169</v>
      </c>
      <c r="J10" s="26">
        <v>9016</v>
      </c>
      <c r="K10" s="26">
        <v>12005</v>
      </c>
      <c r="L10" s="26">
        <v>12007</v>
      </c>
      <c r="M10" s="26">
        <v>14249</v>
      </c>
      <c r="N10" s="70">
        <v>3680</v>
      </c>
      <c r="O10" s="51">
        <v>114461</v>
      </c>
    </row>
    <row r="11" spans="1:15" s="3" customFormat="1" ht="15" customHeight="1" x14ac:dyDescent="0.35">
      <c r="A11" s="28" t="s">
        <v>4</v>
      </c>
      <c r="B11" s="29">
        <v>6372</v>
      </c>
      <c r="C11" s="29">
        <v>6125</v>
      </c>
      <c r="D11" s="29">
        <v>7735</v>
      </c>
      <c r="E11" s="29">
        <v>8496</v>
      </c>
      <c r="F11" s="29">
        <v>7574</v>
      </c>
      <c r="G11" s="29">
        <v>6876</v>
      </c>
      <c r="H11" s="29">
        <v>6193</v>
      </c>
      <c r="I11" s="29">
        <v>7237</v>
      </c>
      <c r="J11" s="29">
        <v>8101</v>
      </c>
      <c r="K11" s="29">
        <v>10995</v>
      </c>
      <c r="L11" s="29">
        <v>9221</v>
      </c>
      <c r="M11" s="29">
        <v>7831</v>
      </c>
      <c r="N11" s="60">
        <v>831</v>
      </c>
      <c r="O11" s="52">
        <v>93587</v>
      </c>
    </row>
    <row r="12" spans="1:15" s="3" customFormat="1" ht="15" customHeight="1" x14ac:dyDescent="0.35">
      <c r="A12" s="28" t="s">
        <v>5</v>
      </c>
      <c r="B12" s="29">
        <v>530</v>
      </c>
      <c r="C12" s="29">
        <v>608</v>
      </c>
      <c r="D12" s="29">
        <v>783</v>
      </c>
      <c r="E12" s="29">
        <v>933</v>
      </c>
      <c r="F12" s="29">
        <v>1183</v>
      </c>
      <c r="G12" s="29">
        <v>997</v>
      </c>
      <c r="H12" s="29">
        <v>788</v>
      </c>
      <c r="I12" s="29">
        <v>906</v>
      </c>
      <c r="J12" s="29">
        <v>882</v>
      </c>
      <c r="K12" s="29">
        <v>860</v>
      </c>
      <c r="L12" s="29">
        <v>876</v>
      </c>
      <c r="M12" s="29">
        <v>2144</v>
      </c>
      <c r="N12" s="60">
        <v>92</v>
      </c>
      <c r="O12" s="52">
        <v>11582</v>
      </c>
    </row>
    <row r="13" spans="1:15" s="3" customFormat="1" ht="15" customHeight="1" x14ac:dyDescent="0.35">
      <c r="A13" s="8" t="s">
        <v>38</v>
      </c>
      <c r="B13" s="29">
        <v>36</v>
      </c>
      <c r="C13" s="29">
        <v>17</v>
      </c>
      <c r="D13" s="29">
        <v>22</v>
      </c>
      <c r="E13" s="29">
        <v>37</v>
      </c>
      <c r="F13" s="29">
        <v>12</v>
      </c>
      <c r="G13" s="29">
        <v>9</v>
      </c>
      <c r="H13" s="29">
        <v>9</v>
      </c>
      <c r="I13" s="29">
        <v>26</v>
      </c>
      <c r="J13" s="29">
        <v>33</v>
      </c>
      <c r="K13" s="29">
        <v>150</v>
      </c>
      <c r="L13" s="29">
        <v>1910</v>
      </c>
      <c r="M13" s="29">
        <v>4274</v>
      </c>
      <c r="N13" s="60">
        <v>2757</v>
      </c>
      <c r="O13" s="52">
        <v>9292</v>
      </c>
    </row>
    <row r="14" spans="1:15" s="3" customFormat="1" ht="15" customHeight="1" x14ac:dyDescent="0.35">
      <c r="A14" s="55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s="3" customFormat="1" ht="15" customHeight="1" x14ac:dyDescent="0.35">
      <c r="A15" s="28" t="s">
        <v>10</v>
      </c>
      <c r="B15" s="29">
        <v>822</v>
      </c>
      <c r="C15" s="29">
        <v>943</v>
      </c>
      <c r="D15" s="29">
        <v>1128</v>
      </c>
      <c r="E15" s="29">
        <v>1392</v>
      </c>
      <c r="F15" s="29">
        <v>1262</v>
      </c>
      <c r="G15" s="29">
        <v>943</v>
      </c>
      <c r="H15" s="29">
        <v>895</v>
      </c>
      <c r="I15" s="29">
        <v>1376</v>
      </c>
      <c r="J15" s="29">
        <v>1701</v>
      </c>
      <c r="K15" s="29">
        <v>2121</v>
      </c>
      <c r="L15" s="29">
        <v>2325</v>
      </c>
      <c r="M15" s="29">
        <v>2970</v>
      </c>
      <c r="N15" s="60">
        <v>351</v>
      </c>
      <c r="O15" s="52">
        <v>18229</v>
      </c>
    </row>
    <row r="16" spans="1:15" s="3" customFormat="1" ht="15" customHeight="1" x14ac:dyDescent="0.35">
      <c r="A16" s="28" t="s">
        <v>11</v>
      </c>
      <c r="B16" s="29">
        <v>987</v>
      </c>
      <c r="C16" s="29">
        <v>1020</v>
      </c>
      <c r="D16" s="29">
        <v>1076</v>
      </c>
      <c r="E16" s="29">
        <v>1134</v>
      </c>
      <c r="F16" s="29">
        <v>1228</v>
      </c>
      <c r="G16" s="29">
        <v>928</v>
      </c>
      <c r="H16" s="29">
        <v>839</v>
      </c>
      <c r="I16" s="29">
        <v>1228</v>
      </c>
      <c r="J16" s="29">
        <v>1346</v>
      </c>
      <c r="K16" s="29">
        <v>1743</v>
      </c>
      <c r="L16" s="29">
        <v>1573</v>
      </c>
      <c r="M16" s="29">
        <v>1276</v>
      </c>
      <c r="N16" s="60">
        <v>241</v>
      </c>
      <c r="O16" s="52">
        <v>14619</v>
      </c>
    </row>
    <row r="17" spans="1:15" s="3" customFormat="1" ht="15" customHeight="1" x14ac:dyDescent="0.35">
      <c r="A17" s="28" t="s">
        <v>12</v>
      </c>
      <c r="B17" s="29">
        <v>4563</v>
      </c>
      <c r="C17" s="29">
        <v>4162</v>
      </c>
      <c r="D17" s="29">
        <v>5531</v>
      </c>
      <c r="E17" s="29">
        <v>5970</v>
      </c>
      <c r="F17" s="29">
        <v>5084</v>
      </c>
      <c r="G17" s="29">
        <v>5005</v>
      </c>
      <c r="H17" s="29">
        <v>4459</v>
      </c>
      <c r="I17" s="29">
        <v>4633</v>
      </c>
      <c r="J17" s="29">
        <v>5054</v>
      </c>
      <c r="K17" s="29">
        <v>7131</v>
      </c>
      <c r="L17" s="29">
        <v>5323</v>
      </c>
      <c r="M17" s="29">
        <v>3585</v>
      </c>
      <c r="N17" s="60">
        <v>239</v>
      </c>
      <c r="O17" s="52">
        <v>60739</v>
      </c>
    </row>
    <row r="18" spans="1:15" s="3" customFormat="1" ht="20.149999999999999" customHeight="1" x14ac:dyDescent="0.35">
      <c r="A18" s="50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s="3" customFormat="1" ht="15" customHeight="1" x14ac:dyDescent="0.35">
      <c r="A19" s="54" t="s">
        <v>8</v>
      </c>
      <c r="B19" s="26">
        <v>26969</v>
      </c>
      <c r="C19" s="26">
        <v>34113</v>
      </c>
      <c r="D19" s="26">
        <v>50800</v>
      </c>
      <c r="E19" s="26">
        <v>43659</v>
      </c>
      <c r="F19" s="26">
        <v>41193</v>
      </c>
      <c r="G19" s="26">
        <v>45192</v>
      </c>
      <c r="H19" s="26">
        <v>36471</v>
      </c>
      <c r="I19" s="26">
        <v>39021</v>
      </c>
      <c r="J19" s="26">
        <v>46589</v>
      </c>
      <c r="K19" s="26">
        <v>40036</v>
      </c>
      <c r="L19" s="26">
        <v>43339</v>
      </c>
      <c r="M19" s="26">
        <v>43986</v>
      </c>
      <c r="N19" s="70">
        <v>9014</v>
      </c>
      <c r="O19" s="51">
        <v>500382</v>
      </c>
    </row>
    <row r="20" spans="1:15" s="3" customFormat="1" ht="15" customHeight="1" x14ac:dyDescent="0.35">
      <c r="A20" s="28" t="s">
        <v>4</v>
      </c>
      <c r="B20" s="29">
        <v>24990</v>
      </c>
      <c r="C20" s="29">
        <v>31525</v>
      </c>
      <c r="D20" s="29">
        <v>47427</v>
      </c>
      <c r="E20" s="29">
        <v>40848</v>
      </c>
      <c r="F20" s="29">
        <v>38983</v>
      </c>
      <c r="G20" s="29">
        <v>43251</v>
      </c>
      <c r="H20" s="29">
        <v>34909</v>
      </c>
      <c r="I20" s="29">
        <v>37484</v>
      </c>
      <c r="J20" s="29">
        <v>45142</v>
      </c>
      <c r="K20" s="29">
        <v>39201</v>
      </c>
      <c r="L20" s="29">
        <v>39224</v>
      </c>
      <c r="M20" s="29">
        <v>35479</v>
      </c>
      <c r="N20" s="60">
        <v>6705</v>
      </c>
      <c r="O20" s="52">
        <v>465168</v>
      </c>
    </row>
    <row r="21" spans="1:15" s="3" customFormat="1" ht="15" customHeight="1" x14ac:dyDescent="0.35">
      <c r="A21" s="28" t="s">
        <v>5</v>
      </c>
      <c r="B21" s="29">
        <v>1905</v>
      </c>
      <c r="C21" s="29">
        <v>2530</v>
      </c>
      <c r="D21" s="29">
        <v>3275</v>
      </c>
      <c r="E21" s="29">
        <v>2738</v>
      </c>
      <c r="F21" s="29">
        <v>2148</v>
      </c>
      <c r="G21" s="29">
        <v>1886</v>
      </c>
      <c r="H21" s="29">
        <v>1517</v>
      </c>
      <c r="I21" s="29">
        <v>1509</v>
      </c>
      <c r="J21" s="29">
        <v>1414</v>
      </c>
      <c r="K21" s="29">
        <v>714</v>
      </c>
      <c r="L21" s="29">
        <v>2619</v>
      </c>
      <c r="M21" s="29">
        <v>3099</v>
      </c>
      <c r="N21" s="60">
        <v>13</v>
      </c>
      <c r="O21" s="52">
        <v>25367</v>
      </c>
    </row>
    <row r="22" spans="1:15" s="3" customFormat="1" ht="15" customHeight="1" x14ac:dyDescent="0.35">
      <c r="A22" s="8" t="s">
        <v>38</v>
      </c>
      <c r="B22" s="29">
        <v>74</v>
      </c>
      <c r="C22" s="29">
        <v>58</v>
      </c>
      <c r="D22" s="29">
        <v>98</v>
      </c>
      <c r="E22" s="29">
        <v>73</v>
      </c>
      <c r="F22" s="29">
        <v>62</v>
      </c>
      <c r="G22" s="29">
        <v>55</v>
      </c>
      <c r="H22" s="29">
        <v>45</v>
      </c>
      <c r="I22" s="29">
        <v>28</v>
      </c>
      <c r="J22" s="29">
        <v>33</v>
      </c>
      <c r="K22" s="29">
        <v>121</v>
      </c>
      <c r="L22" s="29">
        <v>1496</v>
      </c>
      <c r="M22" s="29">
        <v>5408</v>
      </c>
      <c r="N22" s="60">
        <v>2296</v>
      </c>
      <c r="O22" s="52">
        <v>9847</v>
      </c>
    </row>
    <row r="23" spans="1:15" s="3" customFormat="1" ht="15" customHeight="1" x14ac:dyDescent="0.35">
      <c r="A23" s="55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s="3" customFormat="1" ht="15" customHeight="1" x14ac:dyDescent="0.35">
      <c r="A24" s="8" t="s">
        <v>44</v>
      </c>
      <c r="B24" s="29">
        <v>24415</v>
      </c>
      <c r="C24" s="29">
        <v>30809</v>
      </c>
      <c r="D24" s="29">
        <v>46776</v>
      </c>
      <c r="E24" s="29">
        <v>40185</v>
      </c>
      <c r="F24" s="29">
        <v>38374</v>
      </c>
      <c r="G24" s="29">
        <v>42457</v>
      </c>
      <c r="H24" s="29">
        <v>33772</v>
      </c>
      <c r="I24" s="29">
        <v>36350</v>
      </c>
      <c r="J24" s="29">
        <v>44027</v>
      </c>
      <c r="K24" s="29">
        <v>37147</v>
      </c>
      <c r="L24" s="29">
        <v>35317</v>
      </c>
      <c r="M24" s="29">
        <v>33402</v>
      </c>
      <c r="N24" s="60">
        <v>6613</v>
      </c>
      <c r="O24" s="52">
        <v>449644</v>
      </c>
    </row>
    <row r="25" spans="1:15" s="3" customFormat="1" ht="15" customHeight="1" x14ac:dyDescent="0.35">
      <c r="A25" s="8" t="s">
        <v>45</v>
      </c>
      <c r="B25" s="29">
        <v>575</v>
      </c>
      <c r="C25" s="29">
        <v>716</v>
      </c>
      <c r="D25" s="29">
        <v>651</v>
      </c>
      <c r="E25" s="29">
        <v>663</v>
      </c>
      <c r="F25" s="29">
        <v>609</v>
      </c>
      <c r="G25" s="29">
        <v>794</v>
      </c>
      <c r="H25" s="29">
        <v>1137</v>
      </c>
      <c r="I25" s="29">
        <v>1134</v>
      </c>
      <c r="J25" s="29">
        <v>1115</v>
      </c>
      <c r="K25" s="29">
        <v>2054</v>
      </c>
      <c r="L25" s="29">
        <v>3907</v>
      </c>
      <c r="M25" s="29">
        <v>2077</v>
      </c>
      <c r="N25" s="60">
        <v>92</v>
      </c>
      <c r="O25" s="52">
        <v>15524</v>
      </c>
    </row>
    <row r="26" spans="1:15" s="3" customFormat="1" ht="20.149999999999999" customHeight="1" x14ac:dyDescent="0.3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s="3" customFormat="1" ht="15" customHeight="1" x14ac:dyDescent="0.35">
      <c r="A27" s="54" t="s">
        <v>8</v>
      </c>
      <c r="B27" s="26">
        <v>4174</v>
      </c>
      <c r="C27" s="26">
        <v>6845</v>
      </c>
      <c r="D27" s="26">
        <v>10674</v>
      </c>
      <c r="E27" s="26">
        <v>9216</v>
      </c>
      <c r="F27" s="26">
        <v>8646</v>
      </c>
      <c r="G27" s="26">
        <v>11839</v>
      </c>
      <c r="H27" s="26">
        <v>9457</v>
      </c>
      <c r="I27" s="26">
        <v>49321</v>
      </c>
      <c r="J27" s="26">
        <v>16960</v>
      </c>
      <c r="K27" s="26">
        <v>12760</v>
      </c>
      <c r="L27" s="26">
        <v>10390</v>
      </c>
      <c r="M27" s="26">
        <v>10335</v>
      </c>
      <c r="N27" s="70">
        <v>3033</v>
      </c>
      <c r="O27" s="51">
        <v>163650</v>
      </c>
    </row>
    <row r="28" spans="1:15" s="3" customFormat="1" ht="15" customHeight="1" x14ac:dyDescent="0.35">
      <c r="A28" s="28" t="s">
        <v>4</v>
      </c>
      <c r="B28" s="29">
        <v>3826</v>
      </c>
      <c r="C28" s="29">
        <v>6250</v>
      </c>
      <c r="D28" s="29">
        <v>9943</v>
      </c>
      <c r="E28" s="29">
        <v>8599</v>
      </c>
      <c r="F28" s="29">
        <v>8051</v>
      </c>
      <c r="G28" s="29">
        <v>11170</v>
      </c>
      <c r="H28" s="29">
        <v>9027</v>
      </c>
      <c r="I28" s="29">
        <v>47991</v>
      </c>
      <c r="J28" s="29">
        <v>16516</v>
      </c>
      <c r="K28" s="29">
        <v>12496</v>
      </c>
      <c r="L28" s="29">
        <v>10119</v>
      </c>
      <c r="M28" s="29">
        <v>9873</v>
      </c>
      <c r="N28" s="60">
        <v>2678</v>
      </c>
      <c r="O28" s="52">
        <v>156539</v>
      </c>
    </row>
    <row r="29" spans="1:15" s="3" customFormat="1" ht="15" customHeight="1" x14ac:dyDescent="0.35">
      <c r="A29" s="28" t="s">
        <v>5</v>
      </c>
      <c r="B29" s="3">
        <v>342</v>
      </c>
      <c r="C29" s="29">
        <v>584</v>
      </c>
      <c r="D29" s="29">
        <v>713</v>
      </c>
      <c r="E29" s="29">
        <v>606</v>
      </c>
      <c r="F29" s="29">
        <v>576</v>
      </c>
      <c r="G29" s="29">
        <v>651</v>
      </c>
      <c r="H29" s="29">
        <v>416</v>
      </c>
      <c r="I29" s="29">
        <v>1254</v>
      </c>
      <c r="J29" s="29">
        <v>414</v>
      </c>
      <c r="K29" s="29">
        <v>230</v>
      </c>
      <c r="L29" s="29">
        <v>172</v>
      </c>
      <c r="M29" s="29">
        <v>133</v>
      </c>
      <c r="N29" s="60">
        <v>18</v>
      </c>
      <c r="O29" s="52">
        <v>6109</v>
      </c>
    </row>
    <row r="30" spans="1:15" s="3" customFormat="1" ht="15" customHeight="1" x14ac:dyDescent="0.35">
      <c r="A30" s="8" t="s">
        <v>38</v>
      </c>
      <c r="B30" s="29">
        <v>6</v>
      </c>
      <c r="C30" s="29">
        <v>11</v>
      </c>
      <c r="D30" s="29">
        <v>18</v>
      </c>
      <c r="E30" s="29">
        <v>11</v>
      </c>
      <c r="F30" s="29">
        <v>19</v>
      </c>
      <c r="G30" s="29">
        <v>18</v>
      </c>
      <c r="H30" s="29">
        <v>14</v>
      </c>
      <c r="I30" s="29">
        <v>76</v>
      </c>
      <c r="J30" s="29">
        <v>30</v>
      </c>
      <c r="K30" s="29">
        <v>34</v>
      </c>
      <c r="L30" s="29">
        <v>99</v>
      </c>
      <c r="M30" s="29">
        <v>329</v>
      </c>
      <c r="N30" s="60">
        <v>337</v>
      </c>
      <c r="O30" s="52">
        <v>1002</v>
      </c>
    </row>
    <row r="31" spans="1:15" s="3" customFormat="1" ht="15" customHeight="1" x14ac:dyDescent="0.35">
      <c r="A31" s="55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s="3" customFormat="1" ht="15" customHeight="1" x14ac:dyDescent="0.35">
      <c r="A32" s="28" t="s">
        <v>16</v>
      </c>
      <c r="B32" s="29">
        <v>1241</v>
      </c>
      <c r="C32" s="29">
        <v>3054</v>
      </c>
      <c r="D32" s="29">
        <v>4008</v>
      </c>
      <c r="E32" s="29">
        <v>4207</v>
      </c>
      <c r="F32" s="29">
        <v>2901</v>
      </c>
      <c r="G32" s="29">
        <v>3915</v>
      </c>
      <c r="H32" s="29">
        <v>3321</v>
      </c>
      <c r="I32" s="29">
        <v>4666</v>
      </c>
      <c r="J32" s="29">
        <v>3755</v>
      </c>
      <c r="K32" s="29">
        <v>2940</v>
      </c>
      <c r="L32" s="29">
        <v>1969</v>
      </c>
      <c r="M32" s="29">
        <v>2002</v>
      </c>
      <c r="N32" s="60">
        <v>288</v>
      </c>
      <c r="O32" s="52">
        <v>38267</v>
      </c>
    </row>
    <row r="33" spans="1:15" s="3" customFormat="1" ht="15" customHeight="1" x14ac:dyDescent="0.35">
      <c r="A33" s="28" t="s">
        <v>17</v>
      </c>
      <c r="B33" s="29">
        <v>2578</v>
      </c>
      <c r="C33" s="29">
        <v>3187</v>
      </c>
      <c r="D33" s="29">
        <v>5908</v>
      </c>
      <c r="E33" s="29">
        <v>4374</v>
      </c>
      <c r="F33" s="29">
        <v>5126</v>
      </c>
      <c r="G33" s="29">
        <v>7204</v>
      </c>
      <c r="H33" s="29">
        <v>5685</v>
      </c>
      <c r="I33" s="29">
        <v>43287</v>
      </c>
      <c r="J33" s="29">
        <v>12730</v>
      </c>
      <c r="K33" s="29">
        <v>9537</v>
      </c>
      <c r="L33" s="29">
        <v>8126</v>
      </c>
      <c r="M33" s="29">
        <v>7848</v>
      </c>
      <c r="N33" s="60">
        <v>2388</v>
      </c>
      <c r="O33" s="52">
        <v>117978</v>
      </c>
    </row>
    <row r="34" spans="1:15" s="3" customFormat="1" ht="15" customHeight="1" x14ac:dyDescent="0.35">
      <c r="A34" s="28" t="s">
        <v>40</v>
      </c>
      <c r="B34" s="29">
        <v>7</v>
      </c>
      <c r="C34" s="29">
        <v>9</v>
      </c>
      <c r="D34" s="29">
        <v>27</v>
      </c>
      <c r="E34" s="29">
        <v>18</v>
      </c>
      <c r="F34" s="29">
        <v>24</v>
      </c>
      <c r="G34" s="29">
        <v>51</v>
      </c>
      <c r="H34" s="29">
        <v>21</v>
      </c>
      <c r="I34" s="29">
        <v>38</v>
      </c>
      <c r="J34" s="29">
        <v>31</v>
      </c>
      <c r="K34" s="29">
        <v>19</v>
      </c>
      <c r="L34" s="29">
        <v>24</v>
      </c>
      <c r="M34" s="29">
        <v>23</v>
      </c>
      <c r="N34" s="60">
        <v>2</v>
      </c>
      <c r="O34" s="52">
        <v>294</v>
      </c>
    </row>
    <row r="35" spans="1:15" s="3" customFormat="1" ht="20.149999999999999" customHeight="1" x14ac:dyDescent="0.35">
      <c r="A35" s="9" t="s">
        <v>39</v>
      </c>
      <c r="B35" s="42">
        <v>0</v>
      </c>
      <c r="C35" s="42">
        <v>1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4"/>
      <c r="O35" s="53">
        <v>3</v>
      </c>
    </row>
    <row r="36" spans="1:15" s="3" customFormat="1" ht="15" customHeight="1" x14ac:dyDescent="0.35">
      <c r="A36" s="28" t="s">
        <v>4</v>
      </c>
      <c r="B36" s="45">
        <v>0</v>
      </c>
      <c r="C36" s="45">
        <v>1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72"/>
      <c r="O36" s="56">
        <v>1</v>
      </c>
    </row>
    <row r="37" spans="1:15" s="3" customFormat="1" ht="15" customHeight="1" x14ac:dyDescent="0.35">
      <c r="A37" s="28" t="s">
        <v>5</v>
      </c>
      <c r="B37" s="45">
        <v>0</v>
      </c>
      <c r="C37" s="45">
        <v>0</v>
      </c>
      <c r="D37" s="45">
        <v>1</v>
      </c>
      <c r="E37" s="37">
        <v>1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72"/>
      <c r="O37" s="56">
        <v>2</v>
      </c>
    </row>
    <row r="38" spans="1:15" s="3" customFormat="1" ht="15" customHeight="1" thickBot="1" x14ac:dyDescent="0.4">
      <c r="A38" s="12" t="s">
        <v>38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8"/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4.5" customHeight="1" x14ac:dyDescent="0.35">
      <c r="A50" s="14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</sheetData>
  <pageMargins left="0.7" right="0.7" top="0.75" bottom="0.75" header="0.3" footer="0.3"/>
  <pageSetup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DBBB-786A-4C0B-B9D7-43035AB11367}">
  <sheetPr>
    <tabColor rgb="FF002060"/>
    <pageSetUpPr fitToPage="1"/>
  </sheetPr>
  <dimension ref="A1:O57"/>
  <sheetViews>
    <sheetView zoomScaleNormal="100" workbookViewId="0">
      <selection activeCell="I28" sqref="I28"/>
    </sheetView>
  </sheetViews>
  <sheetFormatPr defaultColWidth="8.7265625" defaultRowHeight="14.5" x14ac:dyDescent="0.35"/>
  <cols>
    <col min="1" max="1" width="46.26953125" style="17" customWidth="1"/>
    <col min="2" max="14" width="10.453125" customWidth="1"/>
    <col min="15" max="15" width="10.453125" style="23" customWidth="1"/>
  </cols>
  <sheetData>
    <row r="1" spans="1:15" x14ac:dyDescent="0.3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22"/>
    </row>
    <row r="2" spans="1:15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2"/>
    </row>
    <row r="3" spans="1:15" ht="15" thickBot="1" x14ac:dyDescent="0.4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2"/>
    </row>
    <row r="4" spans="1:15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ht="20.149999999999999" customHeight="1" x14ac:dyDescent="0.35">
      <c r="A5" s="25" t="s">
        <v>3</v>
      </c>
      <c r="B5" s="26">
        <v>12846</v>
      </c>
      <c r="C5" s="26">
        <v>11863</v>
      </c>
      <c r="D5" s="26">
        <v>17351</v>
      </c>
      <c r="E5" s="26">
        <v>17846</v>
      </c>
      <c r="F5" s="26">
        <v>19046</v>
      </c>
      <c r="G5" s="26">
        <v>20800</v>
      </c>
      <c r="H5" s="26">
        <v>20338</v>
      </c>
      <c r="I5" s="26">
        <v>24967</v>
      </c>
      <c r="J5" s="26">
        <v>20238</v>
      </c>
      <c r="K5" s="26">
        <v>26235</v>
      </c>
      <c r="L5" s="26">
        <v>35934</v>
      </c>
      <c r="M5" s="26">
        <v>33664</v>
      </c>
      <c r="N5" s="70">
        <v>7383</v>
      </c>
      <c r="O5" s="27">
        <v>268511</v>
      </c>
    </row>
    <row r="6" spans="1:15" ht="15" customHeight="1" x14ac:dyDescent="0.35">
      <c r="A6" s="28" t="s">
        <v>4</v>
      </c>
      <c r="B6" s="29">
        <v>11938</v>
      </c>
      <c r="C6" s="29">
        <v>10949</v>
      </c>
      <c r="D6" s="29">
        <v>15691</v>
      </c>
      <c r="E6" s="29">
        <v>15896</v>
      </c>
      <c r="F6" s="29">
        <v>16919</v>
      </c>
      <c r="G6" s="29">
        <v>18115</v>
      </c>
      <c r="H6" s="29">
        <v>18245</v>
      </c>
      <c r="I6" s="29">
        <v>23227</v>
      </c>
      <c r="J6" s="29">
        <v>18470</v>
      </c>
      <c r="K6" s="29">
        <v>23288</v>
      </c>
      <c r="L6" s="29">
        <v>27060</v>
      </c>
      <c r="M6" s="29">
        <v>16916</v>
      </c>
      <c r="N6" s="60">
        <v>2689</v>
      </c>
      <c r="O6" s="30">
        <v>219403</v>
      </c>
    </row>
    <row r="7" spans="1:15" ht="15" customHeight="1" x14ac:dyDescent="0.35">
      <c r="A7" s="28" t="s">
        <v>5</v>
      </c>
      <c r="B7" s="29">
        <v>768</v>
      </c>
      <c r="C7" s="29">
        <v>711</v>
      </c>
      <c r="D7" s="29">
        <v>1189</v>
      </c>
      <c r="E7" s="29">
        <v>1659</v>
      </c>
      <c r="F7" s="29">
        <v>1988</v>
      </c>
      <c r="G7" s="29">
        <v>2456</v>
      </c>
      <c r="H7" s="29">
        <v>1848</v>
      </c>
      <c r="I7" s="29">
        <v>1444</v>
      </c>
      <c r="J7" s="29">
        <v>1590</v>
      </c>
      <c r="K7" s="29">
        <v>2329</v>
      </c>
      <c r="L7" s="29">
        <v>3315</v>
      </c>
      <c r="M7" s="29">
        <v>3549</v>
      </c>
      <c r="N7" s="60">
        <v>56</v>
      </c>
      <c r="O7" s="30">
        <v>22902</v>
      </c>
    </row>
    <row r="8" spans="1:15" ht="15" customHeight="1" x14ac:dyDescent="0.35">
      <c r="A8" s="8" t="s">
        <v>38</v>
      </c>
      <c r="B8" s="29">
        <v>140</v>
      </c>
      <c r="C8" s="29">
        <v>203</v>
      </c>
      <c r="D8" s="29">
        <v>471</v>
      </c>
      <c r="E8" s="29">
        <v>291</v>
      </c>
      <c r="F8" s="29">
        <v>139</v>
      </c>
      <c r="G8" s="29">
        <v>229</v>
      </c>
      <c r="H8" s="29">
        <v>245</v>
      </c>
      <c r="I8" s="29">
        <v>296</v>
      </c>
      <c r="J8" s="29">
        <v>178</v>
      </c>
      <c r="K8" s="29">
        <v>618</v>
      </c>
      <c r="L8" s="29">
        <v>5559</v>
      </c>
      <c r="M8" s="29">
        <v>13199</v>
      </c>
      <c r="N8" s="60">
        <v>4638</v>
      </c>
      <c r="O8" s="30">
        <v>26206</v>
      </c>
    </row>
    <row r="9" spans="1:15" ht="20.149999999999999" customHeight="1" x14ac:dyDescent="0.3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34"/>
    </row>
    <row r="10" spans="1:15" ht="14.5" customHeight="1" x14ac:dyDescent="0.35">
      <c r="A10" s="35" t="s">
        <v>8</v>
      </c>
      <c r="B10" s="26">
        <v>4472</v>
      </c>
      <c r="C10" s="26">
        <v>4903</v>
      </c>
      <c r="D10" s="26">
        <v>5372</v>
      </c>
      <c r="E10" s="26">
        <v>6180</v>
      </c>
      <c r="F10" s="26">
        <v>6026</v>
      </c>
      <c r="G10" s="26">
        <v>5652</v>
      </c>
      <c r="H10" s="26">
        <v>4425</v>
      </c>
      <c r="I10" s="26">
        <v>4444</v>
      </c>
      <c r="J10" s="26">
        <v>5700</v>
      </c>
      <c r="K10" s="26">
        <v>9585</v>
      </c>
      <c r="L10" s="26">
        <v>10652</v>
      </c>
      <c r="M10" s="26">
        <v>11819</v>
      </c>
      <c r="N10" s="70">
        <v>2562</v>
      </c>
      <c r="O10" s="27">
        <v>81792</v>
      </c>
    </row>
    <row r="11" spans="1:15" ht="15" customHeight="1" x14ac:dyDescent="0.35">
      <c r="A11" s="28" t="s">
        <v>4</v>
      </c>
      <c r="B11" s="29">
        <v>3858</v>
      </c>
      <c r="C11" s="29">
        <v>4342</v>
      </c>
      <c r="D11" s="29">
        <v>4653</v>
      </c>
      <c r="E11" s="29">
        <v>4989</v>
      </c>
      <c r="F11" s="29">
        <v>4532</v>
      </c>
      <c r="G11" s="29">
        <v>3731</v>
      </c>
      <c r="H11" s="29">
        <v>2991</v>
      </c>
      <c r="I11" s="29">
        <v>3411</v>
      </c>
      <c r="J11" s="29">
        <v>4351</v>
      </c>
      <c r="K11" s="29">
        <v>7234</v>
      </c>
      <c r="L11" s="29">
        <v>6754</v>
      </c>
      <c r="M11" s="29">
        <v>4502</v>
      </c>
      <c r="N11" s="60">
        <v>510</v>
      </c>
      <c r="O11" s="30">
        <v>55858</v>
      </c>
    </row>
    <row r="12" spans="1:15" ht="15" customHeight="1" x14ac:dyDescent="0.35">
      <c r="A12" s="28" t="s">
        <v>5</v>
      </c>
      <c r="B12" s="29">
        <v>544</v>
      </c>
      <c r="C12" s="29">
        <v>499</v>
      </c>
      <c r="D12" s="29">
        <v>671</v>
      </c>
      <c r="E12" s="29">
        <v>1147</v>
      </c>
      <c r="F12" s="29">
        <v>1456</v>
      </c>
      <c r="G12" s="29">
        <v>1901</v>
      </c>
      <c r="H12" s="29">
        <v>1410</v>
      </c>
      <c r="I12" s="29">
        <v>1001</v>
      </c>
      <c r="J12" s="29">
        <v>1250</v>
      </c>
      <c r="K12" s="29">
        <v>1864</v>
      </c>
      <c r="L12" s="29">
        <v>1469</v>
      </c>
      <c r="M12" s="29">
        <v>1421</v>
      </c>
      <c r="N12" s="60">
        <v>39</v>
      </c>
      <c r="O12" s="30">
        <v>14672</v>
      </c>
    </row>
    <row r="13" spans="1:15" ht="15" customHeight="1" x14ac:dyDescent="0.35">
      <c r="A13" s="8" t="s">
        <v>38</v>
      </c>
      <c r="B13" s="29">
        <v>70</v>
      </c>
      <c r="C13" s="29">
        <v>62</v>
      </c>
      <c r="D13" s="29">
        <v>48</v>
      </c>
      <c r="E13" s="29">
        <v>44</v>
      </c>
      <c r="F13" s="29">
        <v>38</v>
      </c>
      <c r="G13" s="29">
        <v>20</v>
      </c>
      <c r="H13" s="29">
        <v>24</v>
      </c>
      <c r="I13" s="29">
        <v>32</v>
      </c>
      <c r="J13" s="29">
        <v>99</v>
      </c>
      <c r="K13" s="29">
        <v>487</v>
      </c>
      <c r="L13" s="29">
        <v>2429</v>
      </c>
      <c r="M13" s="29">
        <v>5896</v>
      </c>
      <c r="N13" s="60">
        <v>2013</v>
      </c>
      <c r="O13" s="30">
        <v>11262</v>
      </c>
    </row>
    <row r="14" spans="1:15" ht="15" customHeight="1" x14ac:dyDescent="0.35">
      <c r="A14" s="3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40"/>
    </row>
    <row r="15" spans="1:15" ht="15" customHeight="1" x14ac:dyDescent="0.35">
      <c r="A15" s="28" t="s">
        <v>10</v>
      </c>
      <c r="B15" s="29">
        <v>1794</v>
      </c>
      <c r="C15" s="29">
        <v>2094</v>
      </c>
      <c r="D15" s="29">
        <v>2375</v>
      </c>
      <c r="E15" s="29">
        <v>2716</v>
      </c>
      <c r="F15" s="29">
        <v>2359</v>
      </c>
      <c r="G15" s="29">
        <v>1739</v>
      </c>
      <c r="H15" s="29">
        <v>1297</v>
      </c>
      <c r="I15" s="29">
        <v>1628</v>
      </c>
      <c r="J15" s="29">
        <v>2335</v>
      </c>
      <c r="K15" s="29">
        <v>4300</v>
      </c>
      <c r="L15" s="29">
        <v>3774</v>
      </c>
      <c r="M15" s="29">
        <v>1983</v>
      </c>
      <c r="N15" s="60">
        <v>198</v>
      </c>
      <c r="O15" s="30">
        <v>28592</v>
      </c>
    </row>
    <row r="16" spans="1:15" ht="15" customHeight="1" x14ac:dyDescent="0.35">
      <c r="A16" s="28" t="s">
        <v>11</v>
      </c>
      <c r="B16" s="29">
        <v>1408</v>
      </c>
      <c r="C16" s="29">
        <v>1496</v>
      </c>
      <c r="D16" s="29">
        <v>1323</v>
      </c>
      <c r="E16" s="29">
        <v>1345</v>
      </c>
      <c r="F16" s="29">
        <v>1319</v>
      </c>
      <c r="G16" s="29">
        <v>1165</v>
      </c>
      <c r="H16" s="29">
        <v>1025</v>
      </c>
      <c r="I16" s="29">
        <v>1331</v>
      </c>
      <c r="J16" s="29">
        <v>1531</v>
      </c>
      <c r="K16" s="29">
        <v>2141</v>
      </c>
      <c r="L16" s="29">
        <v>2017</v>
      </c>
      <c r="M16" s="29">
        <v>1514</v>
      </c>
      <c r="N16" s="60">
        <v>270</v>
      </c>
      <c r="O16" s="30">
        <v>17885</v>
      </c>
    </row>
    <row r="17" spans="1:15" ht="15" customHeight="1" x14ac:dyDescent="0.35">
      <c r="A17" s="28" t="s">
        <v>12</v>
      </c>
      <c r="B17" s="29">
        <v>656</v>
      </c>
      <c r="C17" s="29">
        <v>752</v>
      </c>
      <c r="D17" s="29">
        <v>955</v>
      </c>
      <c r="E17" s="29">
        <v>928</v>
      </c>
      <c r="F17" s="29">
        <v>854</v>
      </c>
      <c r="G17" s="29">
        <v>827</v>
      </c>
      <c r="H17" s="29">
        <v>669</v>
      </c>
      <c r="I17" s="29">
        <v>452</v>
      </c>
      <c r="J17" s="29">
        <v>485</v>
      </c>
      <c r="K17" s="29">
        <v>793</v>
      </c>
      <c r="L17" s="29">
        <v>963</v>
      </c>
      <c r="M17" s="29">
        <v>1005</v>
      </c>
      <c r="N17" s="60">
        <v>42</v>
      </c>
      <c r="O17" s="30">
        <v>9381</v>
      </c>
    </row>
    <row r="18" spans="1:15" ht="20.149999999999999" customHeight="1" x14ac:dyDescent="0.35">
      <c r="A18" s="25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34"/>
    </row>
    <row r="19" spans="1:15" ht="14.5" customHeight="1" x14ac:dyDescent="0.35">
      <c r="A19" s="35" t="s">
        <v>8</v>
      </c>
      <c r="B19" s="26">
        <v>4256</v>
      </c>
      <c r="C19" s="26">
        <v>5359</v>
      </c>
      <c r="D19" s="26">
        <v>7815</v>
      </c>
      <c r="E19" s="26">
        <v>6586</v>
      </c>
      <c r="F19" s="26">
        <v>8393</v>
      </c>
      <c r="G19" s="26">
        <v>11009</v>
      </c>
      <c r="H19" s="26">
        <v>11051</v>
      </c>
      <c r="I19" s="26">
        <v>10020</v>
      </c>
      <c r="J19" s="26">
        <v>10356</v>
      </c>
      <c r="K19" s="26">
        <v>13114</v>
      </c>
      <c r="L19" s="26">
        <v>17440</v>
      </c>
      <c r="M19" s="26">
        <v>18413</v>
      </c>
      <c r="N19" s="70">
        <v>3749</v>
      </c>
      <c r="O19" s="27">
        <v>127561</v>
      </c>
    </row>
    <row r="20" spans="1:15" ht="15" customHeight="1" x14ac:dyDescent="0.35">
      <c r="A20" s="28" t="s">
        <v>4</v>
      </c>
      <c r="B20" s="29">
        <v>4095</v>
      </c>
      <c r="C20" s="29">
        <v>5203</v>
      </c>
      <c r="D20" s="29">
        <v>7519</v>
      </c>
      <c r="E20" s="29">
        <v>6282</v>
      </c>
      <c r="F20" s="29">
        <v>8019</v>
      </c>
      <c r="G20" s="29">
        <v>10428</v>
      </c>
      <c r="H20" s="29">
        <v>10547</v>
      </c>
      <c r="I20" s="29">
        <v>9514</v>
      </c>
      <c r="J20" s="29">
        <v>10026</v>
      </c>
      <c r="K20" s="29">
        <v>12561</v>
      </c>
      <c r="L20" s="29">
        <v>12669</v>
      </c>
      <c r="M20" s="29">
        <v>9260</v>
      </c>
      <c r="N20" s="60">
        <v>1355</v>
      </c>
      <c r="O20" s="30">
        <v>107478</v>
      </c>
    </row>
    <row r="21" spans="1:15" ht="15" customHeight="1" x14ac:dyDescent="0.35">
      <c r="A21" s="28" t="s">
        <v>5</v>
      </c>
      <c r="B21" s="29">
        <v>138</v>
      </c>
      <c r="C21" s="29">
        <v>130</v>
      </c>
      <c r="D21" s="29">
        <v>235</v>
      </c>
      <c r="E21" s="29">
        <v>248</v>
      </c>
      <c r="F21" s="29">
        <v>305</v>
      </c>
      <c r="G21" s="29">
        <v>403</v>
      </c>
      <c r="H21" s="29">
        <v>333</v>
      </c>
      <c r="I21" s="29">
        <v>273</v>
      </c>
      <c r="J21" s="29">
        <v>268</v>
      </c>
      <c r="K21" s="29">
        <v>442</v>
      </c>
      <c r="L21" s="29">
        <v>1782</v>
      </c>
      <c r="M21" s="29">
        <v>2085</v>
      </c>
      <c r="N21" s="60">
        <v>11</v>
      </c>
      <c r="O21" s="30">
        <v>6653</v>
      </c>
    </row>
    <row r="22" spans="1:15" ht="15" customHeight="1" x14ac:dyDescent="0.35">
      <c r="A22" s="8" t="s">
        <v>38</v>
      </c>
      <c r="B22" s="29">
        <v>23</v>
      </c>
      <c r="C22" s="29">
        <v>26</v>
      </c>
      <c r="D22" s="29">
        <v>61</v>
      </c>
      <c r="E22" s="29">
        <v>56</v>
      </c>
      <c r="F22" s="29">
        <v>69</v>
      </c>
      <c r="G22" s="29">
        <v>178</v>
      </c>
      <c r="H22" s="29">
        <v>171</v>
      </c>
      <c r="I22" s="29">
        <v>233</v>
      </c>
      <c r="J22" s="29">
        <v>62</v>
      </c>
      <c r="K22" s="29">
        <v>111</v>
      </c>
      <c r="L22" s="29">
        <v>2989</v>
      </c>
      <c r="M22" s="29">
        <v>7068</v>
      </c>
      <c r="N22" s="60">
        <v>2383</v>
      </c>
      <c r="O22" s="30">
        <v>13430</v>
      </c>
    </row>
    <row r="23" spans="1:15" ht="15" customHeight="1" x14ac:dyDescent="0.35">
      <c r="A23" s="3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40"/>
    </row>
    <row r="24" spans="1:15" ht="15" customHeight="1" x14ac:dyDescent="0.35">
      <c r="A24" s="8" t="s">
        <v>44</v>
      </c>
      <c r="B24" s="37">
        <v>3401</v>
      </c>
      <c r="C24" s="37">
        <v>4465</v>
      </c>
      <c r="D24" s="37">
        <v>6774</v>
      </c>
      <c r="E24" s="37">
        <v>5517</v>
      </c>
      <c r="F24" s="37">
        <v>7228</v>
      </c>
      <c r="G24" s="37">
        <v>8561</v>
      </c>
      <c r="H24" s="37">
        <v>7972</v>
      </c>
      <c r="I24" s="37">
        <v>7698</v>
      </c>
      <c r="J24" s="39">
        <v>7392</v>
      </c>
      <c r="K24" s="39">
        <v>7741</v>
      </c>
      <c r="L24" s="39">
        <v>6338</v>
      </c>
      <c r="M24" s="39">
        <v>6040</v>
      </c>
      <c r="N24" s="39">
        <v>1204</v>
      </c>
      <c r="O24" s="40">
        <v>80331</v>
      </c>
    </row>
    <row r="25" spans="1:15" ht="15" customHeight="1" x14ac:dyDescent="0.35">
      <c r="A25" s="8" t="s">
        <v>45</v>
      </c>
      <c r="B25" s="37">
        <v>694</v>
      </c>
      <c r="C25" s="37">
        <v>738</v>
      </c>
      <c r="D25" s="37">
        <v>745</v>
      </c>
      <c r="E25" s="37">
        <v>765</v>
      </c>
      <c r="F25" s="37">
        <v>791</v>
      </c>
      <c r="G25" s="37">
        <v>1867</v>
      </c>
      <c r="H25" s="37">
        <v>2575</v>
      </c>
      <c r="I25" s="37">
        <v>1816</v>
      </c>
      <c r="J25" s="39">
        <v>2634</v>
      </c>
      <c r="K25" s="39">
        <v>4820</v>
      </c>
      <c r="L25" s="39">
        <v>6331</v>
      </c>
      <c r="M25" s="39">
        <v>3220</v>
      </c>
      <c r="N25" s="39">
        <v>151</v>
      </c>
      <c r="O25" s="40">
        <v>27147</v>
      </c>
    </row>
    <row r="26" spans="1:15" ht="20.149999999999999" customHeight="1" x14ac:dyDescent="0.3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34"/>
    </row>
    <row r="27" spans="1:15" ht="14.5" customHeight="1" x14ac:dyDescent="0.35">
      <c r="A27" s="35" t="s">
        <v>8</v>
      </c>
      <c r="B27" s="26">
        <v>4118</v>
      </c>
      <c r="C27" s="26">
        <v>1601</v>
      </c>
      <c r="D27" s="26">
        <v>4163</v>
      </c>
      <c r="E27" s="26">
        <v>5079</v>
      </c>
      <c r="F27" s="26">
        <v>4627</v>
      </c>
      <c r="G27" s="26">
        <v>4139</v>
      </c>
      <c r="H27" s="26">
        <v>4862</v>
      </c>
      <c r="I27" s="26">
        <v>10503</v>
      </c>
      <c r="J27" s="26">
        <v>4182</v>
      </c>
      <c r="K27" s="26">
        <v>3536</v>
      </c>
      <c r="L27" s="26">
        <v>7842</v>
      </c>
      <c r="M27" s="26">
        <v>3432</v>
      </c>
      <c r="N27" s="70">
        <v>1072</v>
      </c>
      <c r="O27" s="27">
        <v>59156</v>
      </c>
    </row>
    <row r="28" spans="1:15" ht="15" customHeight="1" x14ac:dyDescent="0.35">
      <c r="A28" s="28" t="s">
        <v>4</v>
      </c>
      <c r="B28" s="29">
        <v>3985</v>
      </c>
      <c r="C28" s="29">
        <v>1404</v>
      </c>
      <c r="D28" s="29">
        <v>3519</v>
      </c>
      <c r="E28" s="29">
        <v>4624</v>
      </c>
      <c r="F28" s="29">
        <v>4368</v>
      </c>
      <c r="G28" s="29">
        <v>3956</v>
      </c>
      <c r="H28" s="29">
        <v>4707</v>
      </c>
      <c r="I28" s="29">
        <v>10302</v>
      </c>
      <c r="J28" s="29">
        <v>4093</v>
      </c>
      <c r="K28" s="29">
        <v>3493</v>
      </c>
      <c r="L28" s="29">
        <v>7637</v>
      </c>
      <c r="M28" s="29">
        <v>3154</v>
      </c>
      <c r="N28" s="60">
        <v>824</v>
      </c>
      <c r="O28" s="30">
        <v>56066</v>
      </c>
    </row>
    <row r="29" spans="1:15" ht="15" customHeight="1" x14ac:dyDescent="0.35">
      <c r="A29" s="28" t="s">
        <v>5</v>
      </c>
      <c r="B29" s="29">
        <v>86</v>
      </c>
      <c r="C29" s="29">
        <v>82</v>
      </c>
      <c r="D29" s="29">
        <v>282</v>
      </c>
      <c r="E29" s="29">
        <v>264</v>
      </c>
      <c r="F29" s="29">
        <v>227</v>
      </c>
      <c r="G29" s="29">
        <v>152</v>
      </c>
      <c r="H29" s="29">
        <v>105</v>
      </c>
      <c r="I29" s="29">
        <v>170</v>
      </c>
      <c r="J29" s="29">
        <v>72</v>
      </c>
      <c r="K29" s="29">
        <v>23</v>
      </c>
      <c r="L29" s="29">
        <v>64</v>
      </c>
      <c r="M29" s="29">
        <v>43</v>
      </c>
      <c r="N29" s="60">
        <v>6</v>
      </c>
      <c r="O29" s="30">
        <v>1576</v>
      </c>
    </row>
    <row r="30" spans="1:15" ht="15" customHeight="1" x14ac:dyDescent="0.35">
      <c r="A30" s="8" t="s">
        <v>38</v>
      </c>
      <c r="B30" s="29">
        <v>47</v>
      </c>
      <c r="C30" s="29">
        <v>115</v>
      </c>
      <c r="D30" s="29">
        <v>362</v>
      </c>
      <c r="E30" s="29">
        <v>191</v>
      </c>
      <c r="F30" s="29">
        <v>32</v>
      </c>
      <c r="G30" s="29">
        <v>31</v>
      </c>
      <c r="H30" s="29">
        <v>50</v>
      </c>
      <c r="I30" s="29">
        <v>31</v>
      </c>
      <c r="J30" s="29">
        <v>17</v>
      </c>
      <c r="K30" s="29">
        <v>20</v>
      </c>
      <c r="L30" s="29">
        <v>141</v>
      </c>
      <c r="M30" s="29">
        <v>235</v>
      </c>
      <c r="N30" s="60">
        <v>242</v>
      </c>
      <c r="O30" s="30">
        <v>1514</v>
      </c>
    </row>
    <row r="31" spans="1:15" ht="15" customHeight="1" x14ac:dyDescent="0.35">
      <c r="A31" s="3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40"/>
    </row>
    <row r="32" spans="1:15" ht="15" customHeight="1" x14ac:dyDescent="0.35">
      <c r="A32" s="28" t="s">
        <v>16</v>
      </c>
      <c r="B32" s="29">
        <v>103</v>
      </c>
      <c r="C32" s="29">
        <v>175</v>
      </c>
      <c r="D32" s="29">
        <v>379</v>
      </c>
      <c r="E32" s="29">
        <v>340</v>
      </c>
      <c r="F32" s="29">
        <v>329</v>
      </c>
      <c r="G32" s="29">
        <v>406</v>
      </c>
      <c r="H32" s="29">
        <v>360</v>
      </c>
      <c r="I32" s="29">
        <v>489</v>
      </c>
      <c r="J32" s="29">
        <v>382</v>
      </c>
      <c r="K32" s="29">
        <v>593</v>
      </c>
      <c r="L32" s="29">
        <v>572</v>
      </c>
      <c r="M32" s="29">
        <v>376</v>
      </c>
      <c r="N32" s="60">
        <v>102</v>
      </c>
      <c r="O32" s="30">
        <v>4606</v>
      </c>
    </row>
    <row r="33" spans="1:15" ht="15" customHeight="1" x14ac:dyDescent="0.35">
      <c r="A33" s="28" t="s">
        <v>17</v>
      </c>
      <c r="B33" s="29">
        <v>3855</v>
      </c>
      <c r="C33" s="29">
        <v>1133</v>
      </c>
      <c r="D33" s="29">
        <v>2785</v>
      </c>
      <c r="E33" s="29">
        <v>3999</v>
      </c>
      <c r="F33" s="29">
        <v>3816</v>
      </c>
      <c r="G33" s="29">
        <v>3341</v>
      </c>
      <c r="H33" s="29">
        <v>4212</v>
      </c>
      <c r="I33" s="29">
        <v>9685</v>
      </c>
      <c r="J33" s="29">
        <v>3430</v>
      </c>
      <c r="K33" s="29">
        <v>2809</v>
      </c>
      <c r="L33" s="29">
        <v>6828</v>
      </c>
      <c r="M33" s="29">
        <v>2596</v>
      </c>
      <c r="N33" s="60">
        <v>706</v>
      </c>
      <c r="O33" s="30">
        <v>49195</v>
      </c>
    </row>
    <row r="34" spans="1:15" ht="15" customHeight="1" x14ac:dyDescent="0.35">
      <c r="A34" s="28" t="s">
        <v>40</v>
      </c>
      <c r="B34" s="29">
        <v>27</v>
      </c>
      <c r="C34" s="29">
        <v>96</v>
      </c>
      <c r="D34" s="29">
        <v>355</v>
      </c>
      <c r="E34" s="29">
        <v>285</v>
      </c>
      <c r="F34" s="29">
        <v>223</v>
      </c>
      <c r="G34" s="29">
        <v>209</v>
      </c>
      <c r="H34" s="29">
        <v>135</v>
      </c>
      <c r="I34" s="29">
        <v>128</v>
      </c>
      <c r="J34" s="29">
        <v>281</v>
      </c>
      <c r="K34" s="29">
        <v>91</v>
      </c>
      <c r="L34" s="29">
        <v>237</v>
      </c>
      <c r="M34" s="29">
        <v>182</v>
      </c>
      <c r="N34" s="60">
        <v>16</v>
      </c>
      <c r="O34" s="30">
        <v>2265</v>
      </c>
    </row>
    <row r="35" spans="1:15" ht="20.149999999999999" customHeight="1" x14ac:dyDescent="0.35">
      <c r="A35" s="9" t="s">
        <v>39</v>
      </c>
      <c r="B35" s="42">
        <v>0</v>
      </c>
      <c r="C35" s="42">
        <v>0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44"/>
      <c r="O35" s="34">
        <v>2</v>
      </c>
    </row>
    <row r="36" spans="1:15" ht="15" customHeight="1" x14ac:dyDescent="0.35">
      <c r="A36" s="28" t="s">
        <v>4</v>
      </c>
      <c r="B36" s="45">
        <v>0</v>
      </c>
      <c r="C36" s="45">
        <v>0</v>
      </c>
      <c r="D36" s="45">
        <v>0</v>
      </c>
      <c r="E36" s="37">
        <v>1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46"/>
      <c r="O36" s="40">
        <v>1</v>
      </c>
    </row>
    <row r="37" spans="1:15" ht="15" customHeight="1" x14ac:dyDescent="0.35">
      <c r="A37" s="28" t="s">
        <v>5</v>
      </c>
      <c r="B37" s="45">
        <v>0</v>
      </c>
      <c r="C37" s="45">
        <v>0</v>
      </c>
      <c r="D37" s="45">
        <v>1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6">
        <v>0</v>
      </c>
      <c r="L37" s="46">
        <v>0</v>
      </c>
      <c r="M37" s="46">
        <v>0</v>
      </c>
      <c r="N37" s="46"/>
      <c r="O37" s="40">
        <v>1</v>
      </c>
    </row>
    <row r="38" spans="1:15" ht="15" customHeight="1" thickBot="1" x14ac:dyDescent="0.4">
      <c r="A38" s="12" t="s">
        <v>38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8"/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24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24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24"/>
    </row>
    <row r="49" spans="1:15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24"/>
    </row>
    <row r="50" spans="1:15" ht="14.5" customHeight="1" x14ac:dyDescent="0.35">
      <c r="A50" s="14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24"/>
    </row>
    <row r="51" spans="1:15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24"/>
    </row>
    <row r="52" spans="1:15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24"/>
    </row>
    <row r="53" spans="1:15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24"/>
    </row>
    <row r="54" spans="1:15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24"/>
    </row>
    <row r="55" spans="1:15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5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5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496C-133D-4C88-9AF0-E60F24AC8B8D}">
  <sheetPr>
    <tabColor rgb="FF002060"/>
    <pageSetUpPr fitToPage="1"/>
  </sheetPr>
  <dimension ref="A1:O57"/>
  <sheetViews>
    <sheetView zoomScaleNormal="100" workbookViewId="0">
      <selection activeCell="L30" sqref="L30"/>
    </sheetView>
  </sheetViews>
  <sheetFormatPr defaultColWidth="8.7265625" defaultRowHeight="14.5" x14ac:dyDescent="0.35"/>
  <cols>
    <col min="1" max="1" width="46.26953125" style="17" customWidth="1"/>
    <col min="2" max="15" width="10.453125" customWidth="1"/>
  </cols>
  <sheetData>
    <row r="1" spans="1:15" x14ac:dyDescent="0.35">
      <c r="A1" s="4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15" thickBot="1" x14ac:dyDescent="0.4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s="18" customFormat="1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ht="20.149999999999999" customHeight="1" x14ac:dyDescent="0.35">
      <c r="A5" s="7" t="s">
        <v>3</v>
      </c>
      <c r="B5" s="26">
        <v>3099</v>
      </c>
      <c r="C5" s="26">
        <v>4346</v>
      </c>
      <c r="D5" s="26">
        <v>4708</v>
      </c>
      <c r="E5" s="26">
        <v>5248</v>
      </c>
      <c r="F5" s="26">
        <v>5418</v>
      </c>
      <c r="G5" s="26">
        <v>7909</v>
      </c>
      <c r="H5" s="26">
        <v>7124</v>
      </c>
      <c r="I5" s="26">
        <v>6147</v>
      </c>
      <c r="J5" s="26">
        <v>10330</v>
      </c>
      <c r="K5" s="26">
        <v>14208</v>
      </c>
      <c r="L5" s="26">
        <v>18350</v>
      </c>
      <c r="M5" s="26">
        <v>16025</v>
      </c>
      <c r="N5" s="70">
        <v>3451</v>
      </c>
      <c r="O5" s="51">
        <v>106363</v>
      </c>
    </row>
    <row r="6" spans="1:15" ht="15" customHeight="1" x14ac:dyDescent="0.35">
      <c r="A6" s="8" t="s">
        <v>4</v>
      </c>
      <c r="B6" s="29">
        <v>2686</v>
      </c>
      <c r="C6" s="29">
        <v>3685</v>
      </c>
      <c r="D6" s="29">
        <v>3724</v>
      </c>
      <c r="E6" s="29">
        <v>3721</v>
      </c>
      <c r="F6" s="29">
        <v>3874</v>
      </c>
      <c r="G6" s="29">
        <v>6168</v>
      </c>
      <c r="H6" s="29">
        <v>6558</v>
      </c>
      <c r="I6" s="29">
        <v>5804</v>
      </c>
      <c r="J6" s="29">
        <v>9913</v>
      </c>
      <c r="K6" s="29">
        <v>13733</v>
      </c>
      <c r="L6" s="29">
        <v>11907</v>
      </c>
      <c r="M6" s="29">
        <v>6757</v>
      </c>
      <c r="N6" s="60">
        <v>855</v>
      </c>
      <c r="O6" s="52">
        <v>79385</v>
      </c>
    </row>
    <row r="7" spans="1:15" ht="15" customHeight="1" x14ac:dyDescent="0.35">
      <c r="A7" s="8" t="s">
        <v>5</v>
      </c>
      <c r="B7" s="29">
        <v>367</v>
      </c>
      <c r="C7" s="29">
        <v>604</v>
      </c>
      <c r="D7" s="29">
        <v>896</v>
      </c>
      <c r="E7" s="29">
        <v>1463</v>
      </c>
      <c r="F7" s="29">
        <v>1493</v>
      </c>
      <c r="G7" s="29">
        <v>1656</v>
      </c>
      <c r="H7" s="29">
        <v>443</v>
      </c>
      <c r="I7" s="29">
        <v>261</v>
      </c>
      <c r="J7" s="29">
        <v>338</v>
      </c>
      <c r="K7" s="29">
        <v>352</v>
      </c>
      <c r="L7" s="29">
        <v>282</v>
      </c>
      <c r="M7" s="29">
        <v>152</v>
      </c>
      <c r="N7" s="60">
        <v>1</v>
      </c>
      <c r="O7" s="52">
        <v>8308</v>
      </c>
    </row>
    <row r="8" spans="1:15" ht="15" customHeight="1" x14ac:dyDescent="0.35">
      <c r="A8" s="8" t="s">
        <v>6</v>
      </c>
      <c r="B8" s="29">
        <v>46</v>
      </c>
      <c r="C8" s="29">
        <v>57</v>
      </c>
      <c r="D8" s="29">
        <v>88</v>
      </c>
      <c r="E8" s="29">
        <v>64</v>
      </c>
      <c r="F8" s="29">
        <v>51</v>
      </c>
      <c r="G8" s="29">
        <v>85</v>
      </c>
      <c r="H8" s="29">
        <v>123</v>
      </c>
      <c r="I8" s="29">
        <v>82</v>
      </c>
      <c r="J8" s="29">
        <v>79</v>
      </c>
      <c r="K8" s="29">
        <v>123</v>
      </c>
      <c r="L8" s="29">
        <v>6161</v>
      </c>
      <c r="M8" s="29">
        <v>9116</v>
      </c>
      <c r="N8" s="60">
        <v>2595</v>
      </c>
      <c r="O8" s="52">
        <v>18670</v>
      </c>
    </row>
    <row r="9" spans="1:15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ht="14.5" customHeight="1" x14ac:dyDescent="0.35">
      <c r="A10" s="10" t="s">
        <v>8</v>
      </c>
      <c r="B10" s="26">
        <v>128</v>
      </c>
      <c r="C10" s="26">
        <v>101</v>
      </c>
      <c r="D10" s="26">
        <v>117</v>
      </c>
      <c r="E10" s="26">
        <v>146</v>
      </c>
      <c r="F10" s="26">
        <v>160</v>
      </c>
      <c r="G10" s="26">
        <v>107</v>
      </c>
      <c r="H10" s="26">
        <v>93</v>
      </c>
      <c r="I10" s="26">
        <v>91</v>
      </c>
      <c r="J10" s="26">
        <v>101</v>
      </c>
      <c r="K10" s="26">
        <v>157</v>
      </c>
      <c r="L10" s="26">
        <v>218</v>
      </c>
      <c r="M10" s="26">
        <v>178</v>
      </c>
      <c r="N10" s="70">
        <v>46</v>
      </c>
      <c r="O10" s="51">
        <v>1643</v>
      </c>
    </row>
    <row r="11" spans="1:15" ht="15" customHeight="1" x14ac:dyDescent="0.35">
      <c r="A11" s="8" t="s">
        <v>4</v>
      </c>
      <c r="B11" s="29">
        <v>99</v>
      </c>
      <c r="C11" s="29">
        <v>81</v>
      </c>
      <c r="D11" s="29">
        <v>93</v>
      </c>
      <c r="E11" s="29">
        <v>114</v>
      </c>
      <c r="F11" s="29">
        <v>138</v>
      </c>
      <c r="G11" s="29">
        <v>90</v>
      </c>
      <c r="H11" s="29">
        <v>79</v>
      </c>
      <c r="I11" s="29">
        <v>81</v>
      </c>
      <c r="J11" s="29">
        <v>83</v>
      </c>
      <c r="K11" s="29">
        <v>140</v>
      </c>
      <c r="L11" s="29">
        <v>121</v>
      </c>
      <c r="M11" s="29">
        <v>71</v>
      </c>
      <c r="N11" s="60">
        <v>3</v>
      </c>
      <c r="O11" s="52">
        <v>1193</v>
      </c>
    </row>
    <row r="12" spans="1:15" ht="15" customHeight="1" x14ac:dyDescent="0.35">
      <c r="A12" s="8" t="s">
        <v>5</v>
      </c>
      <c r="B12" s="29">
        <v>29</v>
      </c>
      <c r="C12" s="29">
        <v>20</v>
      </c>
      <c r="D12" s="29">
        <v>23</v>
      </c>
      <c r="E12" s="29">
        <v>32</v>
      </c>
      <c r="F12" s="29">
        <v>22</v>
      </c>
      <c r="G12" s="29">
        <v>17</v>
      </c>
      <c r="H12" s="29">
        <v>13</v>
      </c>
      <c r="I12" s="29">
        <v>9</v>
      </c>
      <c r="J12" s="29">
        <v>16</v>
      </c>
      <c r="K12" s="29">
        <v>14</v>
      </c>
      <c r="L12" s="29">
        <v>29</v>
      </c>
      <c r="M12" s="29">
        <v>12</v>
      </c>
      <c r="N12" s="60">
        <v>0</v>
      </c>
      <c r="O12" s="52">
        <v>236</v>
      </c>
    </row>
    <row r="13" spans="1:15" ht="15" customHeight="1" x14ac:dyDescent="0.35">
      <c r="A13" s="8" t="s">
        <v>6</v>
      </c>
      <c r="B13" s="29">
        <v>0</v>
      </c>
      <c r="C13" s="29">
        <v>0</v>
      </c>
      <c r="D13" s="29">
        <v>1</v>
      </c>
      <c r="E13" s="29">
        <v>0</v>
      </c>
      <c r="F13" s="29">
        <v>0</v>
      </c>
      <c r="G13" s="29">
        <v>0</v>
      </c>
      <c r="H13" s="29">
        <v>1</v>
      </c>
      <c r="I13" s="29">
        <v>1</v>
      </c>
      <c r="J13" s="29">
        <v>2</v>
      </c>
      <c r="K13" s="29">
        <v>3</v>
      </c>
      <c r="L13" s="29">
        <v>68</v>
      </c>
      <c r="M13" s="29">
        <v>95</v>
      </c>
      <c r="N13" s="60">
        <v>43</v>
      </c>
      <c r="O13" s="52">
        <v>214</v>
      </c>
    </row>
    <row r="14" spans="1:15" ht="15" customHeight="1" x14ac:dyDescent="0.3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8" t="s">
        <v>10</v>
      </c>
      <c r="B15" s="29">
        <v>23</v>
      </c>
      <c r="C15" s="29">
        <v>11</v>
      </c>
      <c r="D15" s="29">
        <v>12</v>
      </c>
      <c r="E15" s="29">
        <v>21</v>
      </c>
      <c r="F15" s="29">
        <v>16</v>
      </c>
      <c r="G15" s="29">
        <v>12</v>
      </c>
      <c r="H15" s="29">
        <v>8</v>
      </c>
      <c r="I15" s="29">
        <v>16</v>
      </c>
      <c r="J15" s="29">
        <v>18</v>
      </c>
      <c r="K15" s="29">
        <v>23</v>
      </c>
      <c r="L15" s="29">
        <v>24</v>
      </c>
      <c r="M15" s="29">
        <v>8</v>
      </c>
      <c r="N15" s="60">
        <v>1</v>
      </c>
      <c r="O15" s="52">
        <v>193</v>
      </c>
    </row>
    <row r="16" spans="1:15" ht="15" customHeight="1" x14ac:dyDescent="0.35">
      <c r="A16" s="8" t="s">
        <v>11</v>
      </c>
      <c r="B16" s="29">
        <v>3</v>
      </c>
      <c r="C16" s="29">
        <v>5</v>
      </c>
      <c r="D16" s="29">
        <v>4</v>
      </c>
      <c r="E16" s="29">
        <v>7</v>
      </c>
      <c r="F16" s="29">
        <v>0</v>
      </c>
      <c r="G16" s="29">
        <v>6</v>
      </c>
      <c r="H16" s="29">
        <v>5</v>
      </c>
      <c r="I16" s="29">
        <v>2</v>
      </c>
      <c r="J16" s="29">
        <v>4</v>
      </c>
      <c r="K16" s="29">
        <v>5</v>
      </c>
      <c r="L16" s="29">
        <v>7</v>
      </c>
      <c r="M16" s="29">
        <v>7</v>
      </c>
      <c r="N16" s="60">
        <v>0</v>
      </c>
      <c r="O16" s="52">
        <v>55</v>
      </c>
    </row>
    <row r="17" spans="1:15" ht="15" customHeight="1" x14ac:dyDescent="0.35">
      <c r="A17" s="8" t="s">
        <v>12</v>
      </c>
      <c r="B17" s="29">
        <v>73</v>
      </c>
      <c r="C17" s="29">
        <v>65</v>
      </c>
      <c r="D17" s="29">
        <v>77</v>
      </c>
      <c r="E17" s="29">
        <v>86</v>
      </c>
      <c r="F17" s="29">
        <v>122</v>
      </c>
      <c r="G17" s="29">
        <v>72</v>
      </c>
      <c r="H17" s="29">
        <v>66</v>
      </c>
      <c r="I17" s="29">
        <v>63</v>
      </c>
      <c r="J17" s="29">
        <v>61</v>
      </c>
      <c r="K17" s="29">
        <v>112</v>
      </c>
      <c r="L17" s="29">
        <v>90</v>
      </c>
      <c r="M17" s="29">
        <v>56</v>
      </c>
      <c r="N17" s="60">
        <v>2</v>
      </c>
      <c r="O17" s="52">
        <v>945</v>
      </c>
    </row>
    <row r="18" spans="1:15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ht="14.5" customHeight="1" x14ac:dyDescent="0.35">
      <c r="A19" s="10" t="s">
        <v>8</v>
      </c>
      <c r="B19" s="26">
        <v>1403</v>
      </c>
      <c r="C19" s="26">
        <v>1117</v>
      </c>
      <c r="D19" s="26">
        <v>1411</v>
      </c>
      <c r="E19" s="26">
        <v>1046</v>
      </c>
      <c r="F19" s="26">
        <v>781</v>
      </c>
      <c r="G19" s="26">
        <v>591</v>
      </c>
      <c r="H19" s="26">
        <v>409</v>
      </c>
      <c r="I19" s="26">
        <v>373</v>
      </c>
      <c r="J19" s="26">
        <v>380</v>
      </c>
      <c r="K19" s="26">
        <v>287</v>
      </c>
      <c r="L19" s="26">
        <v>357</v>
      </c>
      <c r="M19" s="26">
        <v>474</v>
      </c>
      <c r="N19" s="70">
        <v>131</v>
      </c>
      <c r="O19" s="51">
        <v>8760</v>
      </c>
    </row>
    <row r="20" spans="1:15" ht="15" customHeight="1" x14ac:dyDescent="0.35">
      <c r="A20" s="8" t="s">
        <v>4</v>
      </c>
      <c r="B20" s="29">
        <v>1179</v>
      </c>
      <c r="C20" s="29">
        <v>943</v>
      </c>
      <c r="D20" s="29">
        <v>1109</v>
      </c>
      <c r="E20" s="29">
        <v>824</v>
      </c>
      <c r="F20" s="29">
        <v>632</v>
      </c>
      <c r="G20" s="29">
        <v>450</v>
      </c>
      <c r="H20" s="29">
        <v>377</v>
      </c>
      <c r="I20" s="29">
        <v>340</v>
      </c>
      <c r="J20" s="29">
        <v>354</v>
      </c>
      <c r="K20" s="29">
        <v>231</v>
      </c>
      <c r="L20" s="29">
        <v>241</v>
      </c>
      <c r="M20" s="29">
        <v>258</v>
      </c>
      <c r="N20" s="60">
        <v>62</v>
      </c>
      <c r="O20" s="52">
        <v>7000</v>
      </c>
    </row>
    <row r="21" spans="1:15" ht="15" customHeight="1" x14ac:dyDescent="0.35">
      <c r="A21" s="8" t="s">
        <v>5</v>
      </c>
      <c r="B21" s="29">
        <v>211</v>
      </c>
      <c r="C21" s="29">
        <v>171</v>
      </c>
      <c r="D21" s="29">
        <v>280</v>
      </c>
      <c r="E21" s="29">
        <v>209</v>
      </c>
      <c r="F21" s="29">
        <v>142</v>
      </c>
      <c r="G21" s="29">
        <v>137</v>
      </c>
      <c r="H21" s="29">
        <v>32</v>
      </c>
      <c r="I21" s="29">
        <v>28</v>
      </c>
      <c r="J21" s="29">
        <v>18</v>
      </c>
      <c r="K21" s="29">
        <v>49</v>
      </c>
      <c r="L21" s="29">
        <v>66</v>
      </c>
      <c r="M21" s="29">
        <v>50</v>
      </c>
      <c r="N21" s="60">
        <v>1</v>
      </c>
      <c r="O21" s="52">
        <v>1394</v>
      </c>
    </row>
    <row r="22" spans="1:15" ht="15" customHeight="1" x14ac:dyDescent="0.35">
      <c r="A22" s="8" t="s">
        <v>6</v>
      </c>
      <c r="B22" s="29">
        <v>13</v>
      </c>
      <c r="C22" s="29">
        <v>3</v>
      </c>
      <c r="D22" s="29">
        <v>22</v>
      </c>
      <c r="E22" s="29">
        <v>13</v>
      </c>
      <c r="F22" s="29">
        <v>7</v>
      </c>
      <c r="G22" s="29">
        <v>4</v>
      </c>
      <c r="H22" s="29">
        <v>0</v>
      </c>
      <c r="I22" s="29">
        <v>5</v>
      </c>
      <c r="J22" s="29">
        <v>8</v>
      </c>
      <c r="K22" s="29">
        <v>7</v>
      </c>
      <c r="L22" s="29">
        <v>50</v>
      </c>
      <c r="M22" s="29">
        <v>166</v>
      </c>
      <c r="N22" s="60">
        <v>68</v>
      </c>
      <c r="O22" s="52">
        <v>366</v>
      </c>
    </row>
    <row r="23" spans="1:15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ht="15" customHeight="1" x14ac:dyDescent="0.35">
      <c r="A24" s="8" t="s">
        <v>14</v>
      </c>
      <c r="B24" s="37">
        <v>1124</v>
      </c>
      <c r="C24" s="37">
        <v>899</v>
      </c>
      <c r="D24" s="37">
        <v>1066</v>
      </c>
      <c r="E24" s="37">
        <v>787</v>
      </c>
      <c r="F24" s="37">
        <v>598</v>
      </c>
      <c r="G24" s="37">
        <v>407</v>
      </c>
      <c r="H24" s="37">
        <v>344</v>
      </c>
      <c r="I24" s="37">
        <v>302</v>
      </c>
      <c r="J24" s="39">
        <v>300</v>
      </c>
      <c r="K24" s="39">
        <v>175</v>
      </c>
      <c r="L24" s="39">
        <v>175</v>
      </c>
      <c r="M24" s="39">
        <v>229</v>
      </c>
      <c r="N24" s="39">
        <v>61</v>
      </c>
      <c r="O24" s="56">
        <v>6467</v>
      </c>
    </row>
    <row r="25" spans="1:15" ht="15" customHeight="1" x14ac:dyDescent="0.35">
      <c r="A25" s="8" t="s">
        <v>42</v>
      </c>
      <c r="B25" s="37">
        <v>55</v>
      </c>
      <c r="C25" s="37">
        <v>44</v>
      </c>
      <c r="D25" s="37">
        <v>43</v>
      </c>
      <c r="E25" s="37">
        <v>37</v>
      </c>
      <c r="F25" s="37">
        <v>34</v>
      </c>
      <c r="G25" s="37">
        <v>43</v>
      </c>
      <c r="H25" s="37">
        <v>33</v>
      </c>
      <c r="I25" s="37">
        <v>38</v>
      </c>
      <c r="J25" s="39">
        <v>54</v>
      </c>
      <c r="K25" s="39">
        <v>56</v>
      </c>
      <c r="L25" s="39">
        <v>66</v>
      </c>
      <c r="M25" s="39">
        <v>29</v>
      </c>
      <c r="N25" s="39">
        <v>1</v>
      </c>
      <c r="O25" s="56">
        <v>533</v>
      </c>
    </row>
    <row r="26" spans="1:15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ht="14.5" customHeight="1" x14ac:dyDescent="0.35">
      <c r="A27" s="10" t="s">
        <v>8</v>
      </c>
      <c r="B27" s="26">
        <v>1568</v>
      </c>
      <c r="C27" s="26">
        <v>3128</v>
      </c>
      <c r="D27" s="26">
        <v>3180</v>
      </c>
      <c r="E27" s="26">
        <v>4056</v>
      </c>
      <c r="F27" s="26">
        <v>4476</v>
      </c>
      <c r="G27" s="26">
        <v>7211</v>
      </c>
      <c r="H27" s="26">
        <v>6622</v>
      </c>
      <c r="I27" s="26">
        <v>5683</v>
      </c>
      <c r="J27" s="26">
        <v>9849</v>
      </c>
      <c r="K27" s="26">
        <v>13764</v>
      </c>
      <c r="L27" s="26">
        <v>17775</v>
      </c>
      <c r="M27" s="26">
        <v>15373</v>
      </c>
      <c r="N27" s="70">
        <v>3274</v>
      </c>
      <c r="O27" s="51">
        <v>95959</v>
      </c>
    </row>
    <row r="28" spans="1:15" ht="15" customHeight="1" x14ac:dyDescent="0.35">
      <c r="A28" s="8" t="s">
        <v>4</v>
      </c>
      <c r="B28" s="29">
        <v>1408</v>
      </c>
      <c r="C28" s="29">
        <v>2661</v>
      </c>
      <c r="D28" s="29">
        <v>2522</v>
      </c>
      <c r="E28" s="29">
        <v>2783</v>
      </c>
      <c r="F28" s="29">
        <v>3103</v>
      </c>
      <c r="G28" s="29">
        <v>5628</v>
      </c>
      <c r="H28" s="29">
        <v>6102</v>
      </c>
      <c r="I28" s="29">
        <v>5383</v>
      </c>
      <c r="J28" s="29">
        <v>9476</v>
      </c>
      <c r="K28" s="29">
        <v>13362</v>
      </c>
      <c r="L28" s="29">
        <v>11545</v>
      </c>
      <c r="M28" s="29">
        <v>6428</v>
      </c>
      <c r="N28" s="60">
        <v>790</v>
      </c>
      <c r="O28" s="52">
        <v>71191</v>
      </c>
    </row>
    <row r="29" spans="1:15" ht="15" customHeight="1" x14ac:dyDescent="0.35">
      <c r="A29" s="8" t="s">
        <v>5</v>
      </c>
      <c r="B29" s="29">
        <v>127</v>
      </c>
      <c r="C29" s="29">
        <v>413</v>
      </c>
      <c r="D29" s="29">
        <v>593</v>
      </c>
      <c r="E29" s="29">
        <v>1222</v>
      </c>
      <c r="F29" s="29">
        <v>1329</v>
      </c>
      <c r="G29" s="29">
        <v>1502</v>
      </c>
      <c r="H29" s="29">
        <v>398</v>
      </c>
      <c r="I29" s="29">
        <v>224</v>
      </c>
      <c r="J29" s="29">
        <v>304</v>
      </c>
      <c r="K29" s="29">
        <v>289</v>
      </c>
      <c r="L29" s="29">
        <v>187</v>
      </c>
      <c r="M29" s="29">
        <v>90</v>
      </c>
      <c r="N29" s="60"/>
      <c r="O29" s="52">
        <v>6678</v>
      </c>
    </row>
    <row r="30" spans="1:15" ht="15" customHeight="1" x14ac:dyDescent="0.35">
      <c r="A30" s="8" t="s">
        <v>6</v>
      </c>
      <c r="B30" s="29">
        <v>33</v>
      </c>
      <c r="C30" s="29">
        <v>54</v>
      </c>
      <c r="D30" s="29">
        <v>65</v>
      </c>
      <c r="E30" s="29">
        <v>51</v>
      </c>
      <c r="F30" s="29">
        <v>44</v>
      </c>
      <c r="G30" s="29">
        <v>81</v>
      </c>
      <c r="H30" s="29">
        <v>122</v>
      </c>
      <c r="I30" s="29">
        <v>76</v>
      </c>
      <c r="J30" s="29">
        <v>69</v>
      </c>
      <c r="K30" s="29">
        <v>113</v>
      </c>
      <c r="L30" s="29">
        <v>6043</v>
      </c>
      <c r="M30" s="29">
        <v>8855</v>
      </c>
      <c r="N30" s="60">
        <v>2484</v>
      </c>
      <c r="O30" s="52">
        <v>18090</v>
      </c>
    </row>
    <row r="31" spans="1:15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ht="15" customHeight="1" x14ac:dyDescent="0.35">
      <c r="A32" s="8" t="s">
        <v>16</v>
      </c>
      <c r="B32" s="29">
        <v>916</v>
      </c>
      <c r="C32" s="29">
        <v>1932</v>
      </c>
      <c r="D32" s="29">
        <v>1481</v>
      </c>
      <c r="E32" s="29">
        <v>1983</v>
      </c>
      <c r="F32" s="29">
        <v>2305</v>
      </c>
      <c r="G32" s="29">
        <v>4556</v>
      </c>
      <c r="H32" s="29">
        <v>4853</v>
      </c>
      <c r="I32" s="29">
        <v>4241</v>
      </c>
      <c r="J32" s="29">
        <v>7202</v>
      </c>
      <c r="K32" s="29">
        <v>11068</v>
      </c>
      <c r="L32" s="29">
        <v>8830</v>
      </c>
      <c r="M32" s="29">
        <v>2664</v>
      </c>
      <c r="N32" s="60">
        <v>473</v>
      </c>
      <c r="O32" s="52">
        <v>52504</v>
      </c>
    </row>
    <row r="33" spans="1:15" ht="15" customHeight="1" x14ac:dyDescent="0.35">
      <c r="A33" s="8" t="s">
        <v>17</v>
      </c>
      <c r="B33" s="29">
        <v>451</v>
      </c>
      <c r="C33" s="29">
        <v>667</v>
      </c>
      <c r="D33" s="29">
        <v>790</v>
      </c>
      <c r="E33" s="29">
        <v>539</v>
      </c>
      <c r="F33" s="29">
        <v>577</v>
      </c>
      <c r="G33" s="29">
        <v>627</v>
      </c>
      <c r="H33" s="29">
        <v>626</v>
      </c>
      <c r="I33" s="29">
        <v>601</v>
      </c>
      <c r="J33" s="29">
        <v>1138</v>
      </c>
      <c r="K33" s="29">
        <v>1262</v>
      </c>
      <c r="L33" s="29">
        <v>1280</v>
      </c>
      <c r="M33" s="29">
        <v>1987</v>
      </c>
      <c r="N33" s="60">
        <v>304</v>
      </c>
      <c r="O33" s="52">
        <v>10849</v>
      </c>
    </row>
    <row r="34" spans="1:15" ht="15" customHeight="1" x14ac:dyDescent="0.35">
      <c r="A34" s="8" t="s">
        <v>40</v>
      </c>
      <c r="B34" s="29">
        <v>41</v>
      </c>
      <c r="C34" s="29">
        <v>62</v>
      </c>
      <c r="D34" s="29">
        <v>251</v>
      </c>
      <c r="E34" s="29">
        <v>261</v>
      </c>
      <c r="F34" s="29">
        <v>221</v>
      </c>
      <c r="G34" s="29">
        <v>445</v>
      </c>
      <c r="H34" s="29">
        <v>623</v>
      </c>
      <c r="I34" s="29">
        <v>541</v>
      </c>
      <c r="J34" s="29">
        <v>1136</v>
      </c>
      <c r="K34" s="29">
        <v>1032</v>
      </c>
      <c r="L34" s="29">
        <v>1435</v>
      </c>
      <c r="M34" s="29">
        <v>1777</v>
      </c>
      <c r="N34" s="60">
        <v>13</v>
      </c>
      <c r="O34" s="52">
        <v>7838</v>
      </c>
    </row>
    <row r="35" spans="1:15" ht="20.149999999999999" customHeight="1" x14ac:dyDescent="0.3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1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44"/>
      <c r="O35" s="53">
        <v>1</v>
      </c>
    </row>
    <row r="36" spans="1:15" ht="15" customHeight="1" x14ac:dyDescent="0.3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1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46"/>
      <c r="O36" s="56">
        <v>1</v>
      </c>
    </row>
    <row r="37" spans="1:15" ht="15" customHeight="1" x14ac:dyDescent="0.3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6" t="s">
        <v>19</v>
      </c>
      <c r="L37" s="46" t="s">
        <v>19</v>
      </c>
      <c r="M37" s="46" t="s">
        <v>19</v>
      </c>
      <c r="N37" s="46"/>
      <c r="O37" s="40" t="s">
        <v>19</v>
      </c>
    </row>
    <row r="38" spans="1:15" ht="15" customHeight="1" thickBot="1" x14ac:dyDescent="0.4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8"/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5AD9-A4D7-473A-8BC5-A01C8CABCD65}">
  <sheetPr>
    <tabColor rgb="FF002060"/>
    <pageSetUpPr fitToPage="1"/>
  </sheetPr>
  <dimension ref="A1:O57"/>
  <sheetViews>
    <sheetView topLeftCell="A12" zoomScaleNormal="100" workbookViewId="0">
      <selection activeCell="I28" sqref="I28"/>
    </sheetView>
  </sheetViews>
  <sheetFormatPr defaultColWidth="8.7265625" defaultRowHeight="14.5" x14ac:dyDescent="0.35"/>
  <cols>
    <col min="1" max="1" width="46.26953125" style="17" customWidth="1"/>
    <col min="2" max="15" width="10.453125" customWidth="1"/>
  </cols>
  <sheetData>
    <row r="1" spans="1:15" x14ac:dyDescent="0.35">
      <c r="A1" s="4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15" thickBot="1" x14ac:dyDescent="0.4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ht="15" customHeight="1" x14ac:dyDescent="0.35">
      <c r="A4" s="61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s="19" customFormat="1" ht="20.149999999999999" customHeight="1" x14ac:dyDescent="0.35">
      <c r="A5" s="7" t="s">
        <v>3</v>
      </c>
      <c r="B5" s="26">
        <v>1014</v>
      </c>
      <c r="C5" s="26">
        <v>1323</v>
      </c>
      <c r="D5" s="26">
        <v>2059</v>
      </c>
      <c r="E5" s="26">
        <v>2640</v>
      </c>
      <c r="F5" s="26">
        <v>3416</v>
      </c>
      <c r="G5" s="26">
        <v>4271</v>
      </c>
      <c r="H5" s="26">
        <v>4583</v>
      </c>
      <c r="I5" s="26">
        <v>5438</v>
      </c>
      <c r="J5" s="26">
        <v>7179</v>
      </c>
      <c r="K5" s="26">
        <v>10749</v>
      </c>
      <c r="L5" s="26">
        <v>12101</v>
      </c>
      <c r="M5" s="26">
        <v>12370</v>
      </c>
      <c r="N5" s="70">
        <v>3075</v>
      </c>
      <c r="O5" s="51">
        <v>70218</v>
      </c>
    </row>
    <row r="6" spans="1:15" ht="15" customHeight="1" x14ac:dyDescent="0.35">
      <c r="A6" s="8" t="s">
        <v>4</v>
      </c>
      <c r="B6" s="29">
        <v>894</v>
      </c>
      <c r="C6" s="29">
        <v>1202</v>
      </c>
      <c r="D6" s="29">
        <v>1871</v>
      </c>
      <c r="E6" s="29">
        <v>2322</v>
      </c>
      <c r="F6" s="29">
        <v>2729</v>
      </c>
      <c r="G6" s="29">
        <v>3302</v>
      </c>
      <c r="H6" s="29">
        <v>3617</v>
      </c>
      <c r="I6" s="29">
        <v>4344</v>
      </c>
      <c r="J6" s="29">
        <v>5478</v>
      </c>
      <c r="K6" s="29">
        <v>6925</v>
      </c>
      <c r="L6" s="29">
        <v>5025</v>
      </c>
      <c r="M6" s="29">
        <v>3756</v>
      </c>
      <c r="N6" s="60">
        <v>501</v>
      </c>
      <c r="O6" s="52">
        <v>41966</v>
      </c>
    </row>
    <row r="7" spans="1:15" ht="15" customHeight="1" x14ac:dyDescent="0.35">
      <c r="A7" s="8" t="s">
        <v>5</v>
      </c>
      <c r="B7" s="29">
        <v>110</v>
      </c>
      <c r="C7" s="29">
        <v>110</v>
      </c>
      <c r="D7" s="29">
        <v>179</v>
      </c>
      <c r="E7" s="29">
        <v>299</v>
      </c>
      <c r="F7" s="29">
        <v>675</v>
      </c>
      <c r="G7" s="29">
        <v>955</v>
      </c>
      <c r="H7" s="29">
        <v>940</v>
      </c>
      <c r="I7" s="29">
        <v>1041</v>
      </c>
      <c r="J7" s="29">
        <v>1607</v>
      </c>
      <c r="K7" s="29">
        <v>3316</v>
      </c>
      <c r="L7" s="29">
        <v>3606</v>
      </c>
      <c r="M7" s="29">
        <v>1173</v>
      </c>
      <c r="N7" s="60">
        <v>16</v>
      </c>
      <c r="O7" s="52">
        <v>14027</v>
      </c>
    </row>
    <row r="8" spans="1:15" ht="15" customHeight="1" x14ac:dyDescent="0.35">
      <c r="A8" s="8" t="s">
        <v>6</v>
      </c>
      <c r="B8" s="29">
        <v>10</v>
      </c>
      <c r="C8" s="29">
        <v>11</v>
      </c>
      <c r="D8" s="29">
        <v>9</v>
      </c>
      <c r="E8" s="29">
        <v>19</v>
      </c>
      <c r="F8" s="29">
        <v>12</v>
      </c>
      <c r="G8" s="29">
        <v>14</v>
      </c>
      <c r="H8" s="29">
        <v>26</v>
      </c>
      <c r="I8" s="29">
        <v>53</v>
      </c>
      <c r="J8" s="29">
        <v>94</v>
      </c>
      <c r="K8" s="29">
        <v>508</v>
      </c>
      <c r="L8" s="29">
        <v>3470</v>
      </c>
      <c r="M8" s="29">
        <v>7441</v>
      </c>
      <c r="N8" s="60">
        <v>2558</v>
      </c>
      <c r="O8" s="52">
        <v>14225</v>
      </c>
    </row>
    <row r="9" spans="1:15" s="19" customFormat="1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ht="15" customHeight="1" x14ac:dyDescent="0.35">
      <c r="A10" s="10" t="s">
        <v>8</v>
      </c>
      <c r="B10" s="26">
        <v>505</v>
      </c>
      <c r="C10" s="26">
        <v>759</v>
      </c>
      <c r="D10" s="26">
        <v>1044</v>
      </c>
      <c r="E10" s="26">
        <v>1356</v>
      </c>
      <c r="F10" s="26">
        <v>1315</v>
      </c>
      <c r="G10" s="26">
        <v>1023</v>
      </c>
      <c r="H10" s="26">
        <v>1082</v>
      </c>
      <c r="I10" s="26">
        <v>1063</v>
      </c>
      <c r="J10" s="26">
        <v>1178</v>
      </c>
      <c r="K10" s="26">
        <v>1725</v>
      </c>
      <c r="L10" s="26">
        <v>2076</v>
      </c>
      <c r="M10" s="26">
        <v>2984</v>
      </c>
      <c r="N10" s="70">
        <v>831</v>
      </c>
      <c r="O10" s="51">
        <v>16941</v>
      </c>
    </row>
    <row r="11" spans="1:15" ht="15" customHeight="1" x14ac:dyDescent="0.35">
      <c r="A11" s="8" t="s">
        <v>4</v>
      </c>
      <c r="B11" s="29">
        <v>430</v>
      </c>
      <c r="C11" s="29">
        <v>684</v>
      </c>
      <c r="D11" s="29">
        <v>915</v>
      </c>
      <c r="E11" s="29">
        <v>1149</v>
      </c>
      <c r="F11" s="29">
        <v>1057</v>
      </c>
      <c r="G11" s="29">
        <v>849</v>
      </c>
      <c r="H11" s="29">
        <v>906</v>
      </c>
      <c r="I11" s="29">
        <v>892</v>
      </c>
      <c r="J11" s="29">
        <v>1000</v>
      </c>
      <c r="K11" s="29">
        <v>1341</v>
      </c>
      <c r="L11" s="29">
        <v>1212</v>
      </c>
      <c r="M11" s="29">
        <v>1106</v>
      </c>
      <c r="N11" s="60">
        <v>119</v>
      </c>
      <c r="O11" s="52">
        <v>11660</v>
      </c>
    </row>
    <row r="12" spans="1:15" ht="15" customHeight="1" x14ac:dyDescent="0.35">
      <c r="A12" s="8" t="s">
        <v>5</v>
      </c>
      <c r="B12" s="29">
        <v>70</v>
      </c>
      <c r="C12" s="29">
        <v>69</v>
      </c>
      <c r="D12" s="29">
        <v>124</v>
      </c>
      <c r="E12" s="29">
        <v>201</v>
      </c>
      <c r="F12" s="29">
        <v>253</v>
      </c>
      <c r="G12" s="29">
        <v>171</v>
      </c>
      <c r="H12" s="29">
        <v>172</v>
      </c>
      <c r="I12" s="29">
        <v>165</v>
      </c>
      <c r="J12" s="29">
        <v>165</v>
      </c>
      <c r="K12" s="29">
        <v>285</v>
      </c>
      <c r="L12" s="29">
        <v>332</v>
      </c>
      <c r="M12" s="29">
        <v>433</v>
      </c>
      <c r="N12" s="60">
        <v>7</v>
      </c>
      <c r="O12" s="52">
        <v>2447</v>
      </c>
    </row>
    <row r="13" spans="1:15" ht="15" customHeight="1" x14ac:dyDescent="0.35">
      <c r="A13" s="8" t="s">
        <v>6</v>
      </c>
      <c r="B13" s="29">
        <v>5</v>
      </c>
      <c r="C13" s="29">
        <v>6</v>
      </c>
      <c r="D13" s="29">
        <v>5</v>
      </c>
      <c r="E13" s="29">
        <v>6</v>
      </c>
      <c r="F13" s="29">
        <v>5</v>
      </c>
      <c r="G13" s="29">
        <v>3</v>
      </c>
      <c r="H13" s="29">
        <v>4</v>
      </c>
      <c r="I13" s="29">
        <v>6</v>
      </c>
      <c r="J13" s="29">
        <v>13</v>
      </c>
      <c r="K13" s="29">
        <v>99</v>
      </c>
      <c r="L13" s="29">
        <v>532</v>
      </c>
      <c r="M13" s="29">
        <v>1445</v>
      </c>
      <c r="N13" s="60">
        <v>705</v>
      </c>
      <c r="O13" s="52">
        <v>2834</v>
      </c>
    </row>
    <row r="14" spans="1:15" ht="15" customHeight="1" x14ac:dyDescent="0.3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8" t="s">
        <v>10</v>
      </c>
      <c r="B15" s="29">
        <v>98</v>
      </c>
      <c r="C15" s="29">
        <v>151</v>
      </c>
      <c r="D15" s="29">
        <v>226</v>
      </c>
      <c r="E15" s="29">
        <v>325</v>
      </c>
      <c r="F15" s="29">
        <v>351</v>
      </c>
      <c r="G15" s="29">
        <v>194</v>
      </c>
      <c r="H15" s="29">
        <v>219</v>
      </c>
      <c r="I15" s="29">
        <v>253</v>
      </c>
      <c r="J15" s="29">
        <v>370</v>
      </c>
      <c r="K15" s="29">
        <v>382</v>
      </c>
      <c r="L15" s="29">
        <v>433</v>
      </c>
      <c r="M15" s="29">
        <v>412</v>
      </c>
      <c r="N15" s="60">
        <v>44</v>
      </c>
      <c r="O15" s="52">
        <v>3458</v>
      </c>
    </row>
    <row r="16" spans="1:15" ht="15" customHeight="1" x14ac:dyDescent="0.35">
      <c r="A16" s="8" t="s">
        <v>11</v>
      </c>
      <c r="B16" s="29">
        <v>25</v>
      </c>
      <c r="C16" s="29">
        <v>24</v>
      </c>
      <c r="D16" s="29">
        <v>21</v>
      </c>
      <c r="E16" s="29">
        <v>41</v>
      </c>
      <c r="F16" s="29">
        <v>31</v>
      </c>
      <c r="G16" s="29">
        <v>35</v>
      </c>
      <c r="H16" s="29">
        <v>39</v>
      </c>
      <c r="I16" s="29">
        <v>29</v>
      </c>
      <c r="J16" s="29">
        <v>58</v>
      </c>
      <c r="K16" s="29">
        <v>80</v>
      </c>
      <c r="L16" s="29">
        <v>92</v>
      </c>
      <c r="M16" s="29">
        <v>101</v>
      </c>
      <c r="N16" s="60">
        <v>25</v>
      </c>
      <c r="O16" s="52">
        <v>601</v>
      </c>
    </row>
    <row r="17" spans="1:15" ht="15" customHeight="1" x14ac:dyDescent="0.35">
      <c r="A17" s="8" t="s">
        <v>12</v>
      </c>
      <c r="B17" s="29">
        <v>307</v>
      </c>
      <c r="C17" s="29">
        <v>509</v>
      </c>
      <c r="D17" s="29">
        <v>668</v>
      </c>
      <c r="E17" s="29">
        <v>783</v>
      </c>
      <c r="F17" s="29">
        <v>675</v>
      </c>
      <c r="G17" s="29">
        <v>620</v>
      </c>
      <c r="H17" s="29">
        <v>648</v>
      </c>
      <c r="I17" s="29">
        <v>610</v>
      </c>
      <c r="J17" s="29">
        <v>572</v>
      </c>
      <c r="K17" s="29">
        <v>879</v>
      </c>
      <c r="L17" s="29">
        <v>687</v>
      </c>
      <c r="M17" s="29">
        <v>593</v>
      </c>
      <c r="N17" s="60">
        <v>50</v>
      </c>
      <c r="O17" s="52">
        <v>7601</v>
      </c>
    </row>
    <row r="18" spans="1:15" s="19" customFormat="1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ht="15" customHeight="1" x14ac:dyDescent="0.35">
      <c r="A19" s="10" t="s">
        <v>8</v>
      </c>
      <c r="B19" s="26">
        <v>362</v>
      </c>
      <c r="C19" s="26">
        <v>357</v>
      </c>
      <c r="D19" s="26">
        <v>582</v>
      </c>
      <c r="E19" s="26">
        <v>649</v>
      </c>
      <c r="F19" s="26">
        <v>1271</v>
      </c>
      <c r="G19" s="26">
        <v>2040</v>
      </c>
      <c r="H19" s="26">
        <v>2311</v>
      </c>
      <c r="I19" s="26">
        <v>2882</v>
      </c>
      <c r="J19" s="26">
        <v>4209</v>
      </c>
      <c r="K19" s="26">
        <v>6910</v>
      </c>
      <c r="L19" s="26">
        <v>8003</v>
      </c>
      <c r="M19" s="26">
        <v>6695</v>
      </c>
      <c r="N19" s="70">
        <v>1472</v>
      </c>
      <c r="O19" s="51">
        <v>37743</v>
      </c>
    </row>
    <row r="20" spans="1:15" ht="15" customHeight="1" x14ac:dyDescent="0.35">
      <c r="A20" s="8" t="s">
        <v>4</v>
      </c>
      <c r="B20" s="29">
        <v>338</v>
      </c>
      <c r="C20" s="29">
        <v>340</v>
      </c>
      <c r="D20" s="29">
        <v>555</v>
      </c>
      <c r="E20" s="29">
        <v>572</v>
      </c>
      <c r="F20" s="29">
        <v>895</v>
      </c>
      <c r="G20" s="29">
        <v>1333</v>
      </c>
      <c r="H20" s="29">
        <v>1604</v>
      </c>
      <c r="I20" s="29">
        <v>2039</v>
      </c>
      <c r="J20" s="29">
        <v>2783</v>
      </c>
      <c r="K20" s="29">
        <v>3547</v>
      </c>
      <c r="L20" s="29">
        <v>1976</v>
      </c>
      <c r="M20" s="29">
        <v>612</v>
      </c>
      <c r="N20" s="60">
        <v>93</v>
      </c>
      <c r="O20" s="52">
        <v>16687</v>
      </c>
    </row>
    <row r="21" spans="1:15" ht="15" customHeight="1" x14ac:dyDescent="0.35">
      <c r="A21" s="8" t="s">
        <v>5</v>
      </c>
      <c r="B21" s="29">
        <v>24</v>
      </c>
      <c r="C21" s="29">
        <v>17</v>
      </c>
      <c r="D21" s="29">
        <v>24</v>
      </c>
      <c r="E21" s="29">
        <v>72</v>
      </c>
      <c r="F21" s="29">
        <v>372</v>
      </c>
      <c r="G21" s="29">
        <v>700</v>
      </c>
      <c r="H21" s="29">
        <v>692</v>
      </c>
      <c r="I21" s="29">
        <v>803</v>
      </c>
      <c r="J21" s="29">
        <v>1352</v>
      </c>
      <c r="K21" s="29">
        <v>2975</v>
      </c>
      <c r="L21" s="29">
        <v>3223</v>
      </c>
      <c r="M21" s="29">
        <v>700</v>
      </c>
      <c r="N21" s="60">
        <v>3</v>
      </c>
      <c r="O21" s="52">
        <v>10957</v>
      </c>
    </row>
    <row r="22" spans="1:15" ht="15" customHeight="1" x14ac:dyDescent="0.35">
      <c r="A22" s="8" t="s">
        <v>6</v>
      </c>
      <c r="B22" s="29">
        <v>0</v>
      </c>
      <c r="C22" s="29">
        <v>0</v>
      </c>
      <c r="D22" s="29">
        <v>3</v>
      </c>
      <c r="E22" s="29">
        <v>5</v>
      </c>
      <c r="F22" s="29">
        <v>4</v>
      </c>
      <c r="G22" s="29">
        <v>7</v>
      </c>
      <c r="H22" s="29">
        <v>15</v>
      </c>
      <c r="I22" s="29">
        <v>40</v>
      </c>
      <c r="J22" s="29">
        <v>74</v>
      </c>
      <c r="K22" s="29">
        <v>388</v>
      </c>
      <c r="L22" s="29">
        <v>2804</v>
      </c>
      <c r="M22" s="29">
        <v>5383</v>
      </c>
      <c r="N22" s="60">
        <v>1376</v>
      </c>
      <c r="O22" s="52">
        <v>10099</v>
      </c>
    </row>
    <row r="23" spans="1:15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ht="15" customHeight="1" x14ac:dyDescent="0.35">
      <c r="A24" s="8" t="s">
        <v>14</v>
      </c>
      <c r="B24" s="37">
        <v>282</v>
      </c>
      <c r="C24" s="37">
        <v>288</v>
      </c>
      <c r="D24" s="37">
        <v>472</v>
      </c>
      <c r="E24" s="37">
        <v>353</v>
      </c>
      <c r="F24" s="37">
        <v>444</v>
      </c>
      <c r="G24" s="37">
        <v>406</v>
      </c>
      <c r="H24" s="37">
        <v>384</v>
      </c>
      <c r="I24" s="37">
        <v>485</v>
      </c>
      <c r="J24" s="39">
        <v>448</v>
      </c>
      <c r="K24" s="39">
        <v>370</v>
      </c>
      <c r="L24" s="39">
        <v>342</v>
      </c>
      <c r="M24" s="39">
        <v>392</v>
      </c>
      <c r="N24" s="39">
        <v>87</v>
      </c>
      <c r="O24" s="56">
        <v>4753</v>
      </c>
    </row>
    <row r="25" spans="1:15" ht="15" customHeight="1" x14ac:dyDescent="0.35">
      <c r="A25" s="8" t="s">
        <v>42</v>
      </c>
      <c r="B25" s="37">
        <v>56</v>
      </c>
      <c r="C25" s="37">
        <v>52</v>
      </c>
      <c r="D25" s="37">
        <v>83</v>
      </c>
      <c r="E25" s="37">
        <v>219</v>
      </c>
      <c r="F25" s="37">
        <v>451</v>
      </c>
      <c r="G25" s="37">
        <v>927</v>
      </c>
      <c r="H25" s="37">
        <v>1220</v>
      </c>
      <c r="I25" s="37">
        <v>1554</v>
      </c>
      <c r="J25" s="39">
        <v>2335</v>
      </c>
      <c r="K25" s="39">
        <v>3177</v>
      </c>
      <c r="L25" s="39">
        <v>1634</v>
      </c>
      <c r="M25" s="39">
        <v>220</v>
      </c>
      <c r="N25" s="39">
        <v>6</v>
      </c>
      <c r="O25" s="56">
        <v>11934</v>
      </c>
    </row>
    <row r="26" spans="1:15" s="19" customFormat="1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ht="15" customHeight="1" x14ac:dyDescent="0.35">
      <c r="A27" s="10" t="s">
        <v>8</v>
      </c>
      <c r="B27" s="26">
        <v>147</v>
      </c>
      <c r="C27" s="26">
        <v>207</v>
      </c>
      <c r="D27" s="26">
        <v>433</v>
      </c>
      <c r="E27" s="26">
        <v>635</v>
      </c>
      <c r="F27" s="26">
        <v>828</v>
      </c>
      <c r="G27" s="26">
        <v>1208</v>
      </c>
      <c r="H27" s="26">
        <v>1190</v>
      </c>
      <c r="I27" s="26">
        <v>1493</v>
      </c>
      <c r="J27" s="26">
        <v>1792</v>
      </c>
      <c r="K27" s="26">
        <v>2114</v>
      </c>
      <c r="L27" s="26">
        <v>2022</v>
      </c>
      <c r="M27" s="26">
        <v>2691</v>
      </c>
      <c r="N27" s="70">
        <v>772</v>
      </c>
      <c r="O27" s="51">
        <v>15532</v>
      </c>
    </row>
    <row r="28" spans="1:15" ht="15" customHeight="1" x14ac:dyDescent="0.35">
      <c r="A28" s="8" t="s">
        <v>4</v>
      </c>
      <c r="B28" s="29">
        <v>126</v>
      </c>
      <c r="C28" s="29">
        <v>178</v>
      </c>
      <c r="D28" s="29">
        <v>401</v>
      </c>
      <c r="E28" s="29">
        <v>601</v>
      </c>
      <c r="F28" s="29">
        <v>775</v>
      </c>
      <c r="G28" s="29">
        <v>1120</v>
      </c>
      <c r="H28" s="29">
        <v>1107</v>
      </c>
      <c r="I28" s="29">
        <v>1413</v>
      </c>
      <c r="J28" s="29">
        <v>1695</v>
      </c>
      <c r="K28" s="29">
        <v>2037</v>
      </c>
      <c r="L28" s="29">
        <v>1837</v>
      </c>
      <c r="M28" s="29">
        <v>2038</v>
      </c>
      <c r="N28" s="60">
        <v>289</v>
      </c>
      <c r="O28" s="52">
        <v>13617</v>
      </c>
    </row>
    <row r="29" spans="1:15" ht="15" customHeight="1" x14ac:dyDescent="0.35">
      <c r="A29" s="8" t="s">
        <v>5</v>
      </c>
      <c r="B29" s="29">
        <v>16</v>
      </c>
      <c r="C29" s="29">
        <v>24</v>
      </c>
      <c r="D29" s="29">
        <v>31</v>
      </c>
      <c r="E29" s="29">
        <v>26</v>
      </c>
      <c r="F29" s="29">
        <v>50</v>
      </c>
      <c r="G29" s="29">
        <v>84</v>
      </c>
      <c r="H29" s="29">
        <v>76</v>
      </c>
      <c r="I29" s="29">
        <v>73</v>
      </c>
      <c r="J29" s="29">
        <v>90</v>
      </c>
      <c r="K29" s="29">
        <v>56</v>
      </c>
      <c r="L29" s="29">
        <v>51</v>
      </c>
      <c r="M29" s="29">
        <v>40</v>
      </c>
      <c r="N29" s="60">
        <v>6</v>
      </c>
      <c r="O29" s="52">
        <v>623</v>
      </c>
    </row>
    <row r="30" spans="1:15" ht="15" customHeight="1" x14ac:dyDescent="0.35">
      <c r="A30" s="8" t="s">
        <v>6</v>
      </c>
      <c r="B30" s="29">
        <v>5</v>
      </c>
      <c r="C30" s="29">
        <v>5</v>
      </c>
      <c r="D30" s="29">
        <v>1</v>
      </c>
      <c r="E30" s="29">
        <v>8</v>
      </c>
      <c r="F30" s="29">
        <v>3</v>
      </c>
      <c r="G30" s="29">
        <v>4</v>
      </c>
      <c r="H30" s="29">
        <v>7</v>
      </c>
      <c r="I30" s="29">
        <v>7</v>
      </c>
      <c r="J30" s="29">
        <v>7</v>
      </c>
      <c r="K30" s="29">
        <v>21</v>
      </c>
      <c r="L30" s="29">
        <v>134</v>
      </c>
      <c r="M30" s="29">
        <v>613</v>
      </c>
      <c r="N30" s="60">
        <v>477</v>
      </c>
      <c r="O30" s="52">
        <v>1292</v>
      </c>
    </row>
    <row r="31" spans="1:15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ht="15" customHeight="1" x14ac:dyDescent="0.35">
      <c r="A32" s="8" t="s">
        <v>16</v>
      </c>
      <c r="B32" s="29">
        <v>39</v>
      </c>
      <c r="C32" s="29">
        <v>62</v>
      </c>
      <c r="D32" s="29">
        <v>133</v>
      </c>
      <c r="E32" s="29">
        <v>202</v>
      </c>
      <c r="F32" s="29">
        <v>242</v>
      </c>
      <c r="G32" s="29">
        <v>338</v>
      </c>
      <c r="H32" s="29">
        <v>317</v>
      </c>
      <c r="I32" s="29">
        <v>438</v>
      </c>
      <c r="J32" s="29">
        <v>410</v>
      </c>
      <c r="K32" s="29">
        <v>477</v>
      </c>
      <c r="L32" s="29">
        <v>501</v>
      </c>
      <c r="M32" s="29">
        <v>593</v>
      </c>
      <c r="N32" s="60">
        <v>174</v>
      </c>
      <c r="O32" s="52">
        <v>3926</v>
      </c>
    </row>
    <row r="33" spans="1:15" ht="15" customHeight="1" x14ac:dyDescent="0.35">
      <c r="A33" s="8" t="s">
        <v>17</v>
      </c>
      <c r="B33" s="29">
        <v>84</v>
      </c>
      <c r="C33" s="29">
        <v>108</v>
      </c>
      <c r="D33" s="29">
        <v>251</v>
      </c>
      <c r="E33" s="29">
        <v>348</v>
      </c>
      <c r="F33" s="29">
        <v>427</v>
      </c>
      <c r="G33" s="29">
        <v>603</v>
      </c>
      <c r="H33" s="29">
        <v>427</v>
      </c>
      <c r="I33" s="29">
        <v>413</v>
      </c>
      <c r="J33" s="29">
        <v>368</v>
      </c>
      <c r="K33" s="29">
        <v>398</v>
      </c>
      <c r="L33" s="29">
        <v>349</v>
      </c>
      <c r="M33" s="29">
        <v>375</v>
      </c>
      <c r="N33" s="60">
        <v>74</v>
      </c>
      <c r="O33" s="52">
        <v>4225</v>
      </c>
    </row>
    <row r="34" spans="1:15" ht="15" customHeight="1" x14ac:dyDescent="0.35">
      <c r="A34" s="8" t="s">
        <v>40</v>
      </c>
      <c r="B34" s="29">
        <v>3</v>
      </c>
      <c r="C34" s="29">
        <v>8</v>
      </c>
      <c r="D34" s="29">
        <v>17</v>
      </c>
      <c r="E34" s="29">
        <v>51</v>
      </c>
      <c r="F34" s="29">
        <v>106</v>
      </c>
      <c r="G34" s="29">
        <v>179</v>
      </c>
      <c r="H34" s="29">
        <v>363</v>
      </c>
      <c r="I34" s="29">
        <v>562</v>
      </c>
      <c r="J34" s="29">
        <v>917</v>
      </c>
      <c r="K34" s="29">
        <v>1162</v>
      </c>
      <c r="L34" s="29">
        <v>987</v>
      </c>
      <c r="M34" s="29">
        <v>1070</v>
      </c>
      <c r="N34" s="60">
        <v>41</v>
      </c>
      <c r="O34" s="52">
        <v>5466</v>
      </c>
    </row>
    <row r="35" spans="1:15" s="19" customFormat="1" ht="20.149999999999999" customHeight="1" x14ac:dyDescent="0.3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2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4"/>
      <c r="O35" s="53">
        <v>2</v>
      </c>
    </row>
    <row r="36" spans="1:15" ht="15" customHeight="1" x14ac:dyDescent="0.3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2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72"/>
      <c r="O36" s="56">
        <v>2</v>
      </c>
    </row>
    <row r="37" spans="1:15" ht="15" customHeight="1" x14ac:dyDescent="0.3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72"/>
      <c r="O37" s="40" t="s">
        <v>19</v>
      </c>
    </row>
    <row r="38" spans="1:15" ht="15" customHeight="1" thickBot="1" x14ac:dyDescent="0.4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8"/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1F71-87C3-4C99-BF9D-FF6B3B581292}">
  <sheetPr>
    <tabColor rgb="FF002060"/>
    <pageSetUpPr fitToPage="1"/>
  </sheetPr>
  <dimension ref="A1:O57"/>
  <sheetViews>
    <sheetView topLeftCell="A26" zoomScaleNormal="100" workbookViewId="0">
      <selection activeCell="G19" sqref="G19"/>
    </sheetView>
  </sheetViews>
  <sheetFormatPr defaultColWidth="8.7265625" defaultRowHeight="14.5" x14ac:dyDescent="0.35"/>
  <cols>
    <col min="1" max="1" width="43.453125" style="17" customWidth="1"/>
    <col min="2" max="15" width="10.453125" customWidth="1"/>
  </cols>
  <sheetData>
    <row r="1" spans="1:15" x14ac:dyDescent="0.35">
      <c r="A1" s="4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15" thickBot="1" x14ac:dyDescent="0.4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 x14ac:dyDescent="0.35">
      <c r="A4" s="64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ht="20.149999999999999" customHeight="1" x14ac:dyDescent="0.35">
      <c r="A5" s="9" t="s">
        <v>3</v>
      </c>
      <c r="B5" s="26">
        <v>211</v>
      </c>
      <c r="C5" s="26">
        <v>255</v>
      </c>
      <c r="D5" s="26">
        <v>842</v>
      </c>
      <c r="E5" s="26">
        <v>1453</v>
      </c>
      <c r="F5" s="26">
        <v>1034</v>
      </c>
      <c r="G5" s="26">
        <v>1145</v>
      </c>
      <c r="H5" s="26">
        <v>1013</v>
      </c>
      <c r="I5" s="26">
        <v>1040</v>
      </c>
      <c r="J5" s="26">
        <v>1183</v>
      </c>
      <c r="K5" s="26">
        <v>2501</v>
      </c>
      <c r="L5" s="26">
        <v>4411</v>
      </c>
      <c r="M5" s="26">
        <v>8446</v>
      </c>
      <c r="N5" s="70">
        <v>3530</v>
      </c>
      <c r="O5" s="51">
        <v>27064</v>
      </c>
    </row>
    <row r="6" spans="1:15" ht="15" customHeight="1" x14ac:dyDescent="0.35">
      <c r="A6" s="20" t="s">
        <v>4</v>
      </c>
      <c r="B6" s="29">
        <v>199</v>
      </c>
      <c r="C6" s="29">
        <v>247</v>
      </c>
      <c r="D6" s="29">
        <v>622</v>
      </c>
      <c r="E6" s="29">
        <v>914</v>
      </c>
      <c r="F6" s="29">
        <v>872</v>
      </c>
      <c r="G6" s="29">
        <v>1034</v>
      </c>
      <c r="H6" s="29">
        <v>938</v>
      </c>
      <c r="I6" s="29">
        <v>980</v>
      </c>
      <c r="J6" s="29">
        <v>1139</v>
      </c>
      <c r="K6" s="29">
        <v>2424</v>
      </c>
      <c r="L6" s="29">
        <v>4060</v>
      </c>
      <c r="M6" s="29">
        <v>5973</v>
      </c>
      <c r="N6" s="60">
        <v>364</v>
      </c>
      <c r="O6" s="52">
        <v>19766</v>
      </c>
    </row>
    <row r="7" spans="1:15" ht="15" customHeight="1" x14ac:dyDescent="0.35">
      <c r="A7" s="20" t="s">
        <v>5</v>
      </c>
      <c r="B7" s="29">
        <v>11</v>
      </c>
      <c r="C7" s="29">
        <v>5</v>
      </c>
      <c r="D7" s="29">
        <v>116</v>
      </c>
      <c r="E7" s="29">
        <v>202</v>
      </c>
      <c r="F7" s="29">
        <v>104</v>
      </c>
      <c r="G7" s="29">
        <v>96</v>
      </c>
      <c r="H7" s="29">
        <v>63</v>
      </c>
      <c r="I7" s="29">
        <v>37</v>
      </c>
      <c r="J7" s="29">
        <v>29</v>
      </c>
      <c r="K7" s="29">
        <v>45</v>
      </c>
      <c r="L7" s="29">
        <v>77</v>
      </c>
      <c r="M7" s="29">
        <v>100</v>
      </c>
      <c r="N7" s="60">
        <v>9</v>
      </c>
      <c r="O7" s="52">
        <v>894</v>
      </c>
    </row>
    <row r="8" spans="1:15" ht="15" customHeight="1" x14ac:dyDescent="0.35">
      <c r="A8" s="20" t="s">
        <v>6</v>
      </c>
      <c r="B8" s="29">
        <v>1</v>
      </c>
      <c r="C8" s="29">
        <v>3</v>
      </c>
      <c r="D8" s="29">
        <v>104</v>
      </c>
      <c r="E8" s="29">
        <v>337</v>
      </c>
      <c r="F8" s="29">
        <v>58</v>
      </c>
      <c r="G8" s="29">
        <v>15</v>
      </c>
      <c r="H8" s="29">
        <v>12</v>
      </c>
      <c r="I8" s="29">
        <v>23</v>
      </c>
      <c r="J8" s="29">
        <v>15</v>
      </c>
      <c r="K8" s="29">
        <v>32</v>
      </c>
      <c r="L8" s="29">
        <v>274</v>
      </c>
      <c r="M8" s="29">
        <v>2373</v>
      </c>
      <c r="N8" s="60">
        <v>3157</v>
      </c>
      <c r="O8" s="52">
        <v>6404</v>
      </c>
    </row>
    <row r="9" spans="1:15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ht="15" customHeight="1" x14ac:dyDescent="0.35">
      <c r="A10" s="15" t="s">
        <v>8</v>
      </c>
      <c r="B10" s="26">
        <v>28</v>
      </c>
      <c r="C10" s="26">
        <v>21</v>
      </c>
      <c r="D10" s="26">
        <v>46</v>
      </c>
      <c r="E10" s="26">
        <v>52</v>
      </c>
      <c r="F10" s="26">
        <v>44</v>
      </c>
      <c r="G10" s="26">
        <v>33</v>
      </c>
      <c r="H10" s="26">
        <v>38</v>
      </c>
      <c r="I10" s="26">
        <v>43</v>
      </c>
      <c r="J10" s="26">
        <v>44</v>
      </c>
      <c r="K10" s="26">
        <v>56</v>
      </c>
      <c r="L10" s="26">
        <v>94</v>
      </c>
      <c r="M10" s="26">
        <v>132</v>
      </c>
      <c r="N10" s="70">
        <v>32</v>
      </c>
      <c r="O10" s="51">
        <v>663</v>
      </c>
    </row>
    <row r="11" spans="1:15" ht="15" customHeight="1" x14ac:dyDescent="0.35">
      <c r="A11" s="20" t="s">
        <v>4</v>
      </c>
      <c r="B11" s="29">
        <v>24</v>
      </c>
      <c r="C11" s="29">
        <v>18</v>
      </c>
      <c r="D11" s="29">
        <v>33</v>
      </c>
      <c r="E11" s="29">
        <v>44</v>
      </c>
      <c r="F11" s="29">
        <v>36</v>
      </c>
      <c r="G11" s="29">
        <v>25</v>
      </c>
      <c r="H11" s="29">
        <v>31</v>
      </c>
      <c r="I11" s="29">
        <v>37</v>
      </c>
      <c r="J11" s="29">
        <v>39</v>
      </c>
      <c r="K11" s="29">
        <v>43</v>
      </c>
      <c r="L11" s="29">
        <v>74</v>
      </c>
      <c r="M11" s="29">
        <v>74</v>
      </c>
      <c r="N11" s="60">
        <v>3</v>
      </c>
      <c r="O11" s="52">
        <v>481</v>
      </c>
    </row>
    <row r="12" spans="1:15" ht="15" customHeight="1" x14ac:dyDescent="0.35">
      <c r="A12" s="20" t="s">
        <v>5</v>
      </c>
      <c r="B12" s="29">
        <v>4</v>
      </c>
      <c r="C12" s="29">
        <v>2</v>
      </c>
      <c r="D12" s="29">
        <v>12</v>
      </c>
      <c r="E12" s="29">
        <v>8</v>
      </c>
      <c r="F12" s="29">
        <v>8</v>
      </c>
      <c r="G12" s="29">
        <v>8</v>
      </c>
      <c r="H12" s="29">
        <v>7</v>
      </c>
      <c r="I12" s="29">
        <v>5</v>
      </c>
      <c r="J12" s="29">
        <v>5</v>
      </c>
      <c r="K12" s="29">
        <v>12</v>
      </c>
      <c r="L12" s="29">
        <v>11</v>
      </c>
      <c r="M12" s="29">
        <v>18</v>
      </c>
      <c r="N12" s="60">
        <v>0</v>
      </c>
      <c r="O12" s="52">
        <v>100</v>
      </c>
    </row>
    <row r="13" spans="1:15" ht="15" customHeight="1" x14ac:dyDescent="0.35">
      <c r="A13" s="20" t="s">
        <v>6</v>
      </c>
      <c r="B13" s="29">
        <v>0</v>
      </c>
      <c r="C13" s="29">
        <v>1</v>
      </c>
      <c r="D13" s="29">
        <v>1</v>
      </c>
      <c r="E13" s="29">
        <v>0</v>
      </c>
      <c r="F13" s="29">
        <v>0</v>
      </c>
      <c r="G13" s="29">
        <v>0</v>
      </c>
      <c r="H13" s="29">
        <v>0</v>
      </c>
      <c r="I13" s="29">
        <v>1</v>
      </c>
      <c r="J13" s="29">
        <v>0</v>
      </c>
      <c r="K13" s="29">
        <v>1</v>
      </c>
      <c r="L13" s="29">
        <v>9</v>
      </c>
      <c r="M13" s="29">
        <v>40</v>
      </c>
      <c r="N13" s="60">
        <v>29</v>
      </c>
      <c r="O13" s="52">
        <v>82</v>
      </c>
    </row>
    <row r="14" spans="1:15" ht="15" customHeight="1" x14ac:dyDescent="0.3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20" t="s">
        <v>10</v>
      </c>
      <c r="B15" s="29">
        <v>4</v>
      </c>
      <c r="C15" s="29">
        <v>3</v>
      </c>
      <c r="D15" s="29">
        <v>6</v>
      </c>
      <c r="E15" s="29">
        <v>15</v>
      </c>
      <c r="F15" s="29">
        <v>6</v>
      </c>
      <c r="G15" s="29">
        <v>5</v>
      </c>
      <c r="H15" s="29">
        <v>5</v>
      </c>
      <c r="I15" s="29">
        <v>9</v>
      </c>
      <c r="J15" s="29">
        <v>10</v>
      </c>
      <c r="K15" s="29">
        <v>11</v>
      </c>
      <c r="L15" s="29">
        <v>28</v>
      </c>
      <c r="M15" s="29">
        <v>24</v>
      </c>
      <c r="N15" s="60">
        <v>3</v>
      </c>
      <c r="O15" s="52">
        <v>129</v>
      </c>
    </row>
    <row r="16" spans="1:15" ht="15" customHeight="1" x14ac:dyDescent="0.35">
      <c r="A16" s="20" t="s">
        <v>11</v>
      </c>
      <c r="B16" s="29">
        <v>8</v>
      </c>
      <c r="C16" s="29">
        <v>6</v>
      </c>
      <c r="D16" s="29">
        <v>7</v>
      </c>
      <c r="E16" s="29">
        <v>11</v>
      </c>
      <c r="F16" s="29">
        <v>11</v>
      </c>
      <c r="G16" s="29">
        <v>10</v>
      </c>
      <c r="H16" s="29">
        <v>3</v>
      </c>
      <c r="I16" s="29">
        <v>9</v>
      </c>
      <c r="J16" s="29">
        <v>8</v>
      </c>
      <c r="K16" s="29">
        <v>8</v>
      </c>
      <c r="L16" s="29">
        <v>19</v>
      </c>
      <c r="M16" s="29">
        <v>12</v>
      </c>
      <c r="N16" s="60">
        <v>0</v>
      </c>
      <c r="O16" s="52">
        <v>112</v>
      </c>
    </row>
    <row r="17" spans="1:15" ht="15" customHeight="1" x14ac:dyDescent="0.35">
      <c r="A17" s="20" t="s">
        <v>12</v>
      </c>
      <c r="B17" s="29">
        <v>12</v>
      </c>
      <c r="C17" s="29">
        <v>9</v>
      </c>
      <c r="D17" s="29">
        <v>20</v>
      </c>
      <c r="E17" s="29">
        <v>18</v>
      </c>
      <c r="F17" s="29">
        <v>19</v>
      </c>
      <c r="G17" s="29">
        <v>10</v>
      </c>
      <c r="H17" s="29">
        <v>23</v>
      </c>
      <c r="I17" s="29">
        <v>19</v>
      </c>
      <c r="J17" s="29">
        <v>21</v>
      </c>
      <c r="K17" s="29">
        <v>24</v>
      </c>
      <c r="L17" s="29">
        <v>27</v>
      </c>
      <c r="M17" s="29">
        <v>38</v>
      </c>
      <c r="N17" s="60">
        <v>0</v>
      </c>
      <c r="O17" s="52">
        <v>240</v>
      </c>
    </row>
    <row r="18" spans="1:15" ht="20.149999999999999" customHeight="1" x14ac:dyDescent="0.35">
      <c r="A18" s="9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ht="15" customHeight="1" x14ac:dyDescent="0.35">
      <c r="A19" s="15" t="s">
        <v>8</v>
      </c>
      <c r="B19" s="26">
        <v>136</v>
      </c>
      <c r="C19" s="26">
        <v>155</v>
      </c>
      <c r="D19" s="26">
        <v>230</v>
      </c>
      <c r="E19" s="26">
        <v>179</v>
      </c>
      <c r="F19" s="26">
        <v>216</v>
      </c>
      <c r="G19" s="26">
        <v>241</v>
      </c>
      <c r="H19" s="26">
        <v>245</v>
      </c>
      <c r="I19" s="26">
        <v>255</v>
      </c>
      <c r="J19" s="26">
        <v>359</v>
      </c>
      <c r="K19" s="26">
        <v>446</v>
      </c>
      <c r="L19" s="26">
        <v>611</v>
      </c>
      <c r="M19" s="26">
        <v>613</v>
      </c>
      <c r="N19" s="70">
        <v>169</v>
      </c>
      <c r="O19" s="51">
        <v>3855</v>
      </c>
    </row>
    <row r="20" spans="1:15" ht="15" customHeight="1" x14ac:dyDescent="0.35">
      <c r="A20" s="20" t="s">
        <v>4</v>
      </c>
      <c r="B20" s="29">
        <v>130</v>
      </c>
      <c r="C20" s="29">
        <v>151</v>
      </c>
      <c r="D20" s="29">
        <v>224</v>
      </c>
      <c r="E20" s="29">
        <v>172</v>
      </c>
      <c r="F20" s="29">
        <v>207</v>
      </c>
      <c r="G20" s="29">
        <v>228</v>
      </c>
      <c r="H20" s="29">
        <v>232</v>
      </c>
      <c r="I20" s="29">
        <v>242</v>
      </c>
      <c r="J20" s="29">
        <v>344</v>
      </c>
      <c r="K20" s="29">
        <v>427</v>
      </c>
      <c r="L20" s="29">
        <v>404</v>
      </c>
      <c r="M20" s="29">
        <v>232</v>
      </c>
      <c r="N20" s="60">
        <v>29</v>
      </c>
      <c r="O20" s="52">
        <v>3022</v>
      </c>
    </row>
    <row r="21" spans="1:15" ht="15" customHeight="1" x14ac:dyDescent="0.35">
      <c r="A21" s="20" t="s">
        <v>5</v>
      </c>
      <c r="B21" s="29">
        <v>5</v>
      </c>
      <c r="C21" s="29">
        <v>3</v>
      </c>
      <c r="D21" s="29">
        <v>6</v>
      </c>
      <c r="E21" s="29">
        <v>5</v>
      </c>
      <c r="F21" s="29">
        <v>5</v>
      </c>
      <c r="G21" s="29">
        <v>12</v>
      </c>
      <c r="H21" s="29">
        <v>13</v>
      </c>
      <c r="I21" s="29">
        <v>10</v>
      </c>
      <c r="J21" s="29">
        <v>7</v>
      </c>
      <c r="K21" s="29">
        <v>14</v>
      </c>
      <c r="L21" s="29">
        <v>35</v>
      </c>
      <c r="M21" s="29">
        <v>52</v>
      </c>
      <c r="N21" s="60">
        <v>2</v>
      </c>
      <c r="O21" s="52">
        <v>169</v>
      </c>
    </row>
    <row r="22" spans="1:15" ht="15" customHeight="1" x14ac:dyDescent="0.35">
      <c r="A22" s="20" t="s">
        <v>6</v>
      </c>
      <c r="B22" s="29">
        <v>1</v>
      </c>
      <c r="C22" s="29">
        <v>1</v>
      </c>
      <c r="D22" s="29">
        <v>0</v>
      </c>
      <c r="E22" s="29">
        <v>2</v>
      </c>
      <c r="F22" s="29">
        <v>4</v>
      </c>
      <c r="G22" s="29">
        <v>1</v>
      </c>
      <c r="H22" s="29">
        <v>0</v>
      </c>
      <c r="I22" s="29">
        <v>3</v>
      </c>
      <c r="J22" s="29">
        <v>8</v>
      </c>
      <c r="K22" s="29">
        <v>5</v>
      </c>
      <c r="L22" s="29">
        <v>172</v>
      </c>
      <c r="M22" s="29">
        <v>329</v>
      </c>
      <c r="N22" s="60">
        <v>138</v>
      </c>
      <c r="O22" s="52">
        <v>664</v>
      </c>
    </row>
    <row r="23" spans="1:15" ht="15" customHeight="1" x14ac:dyDescent="0.35">
      <c r="A23" s="1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ht="15" customHeight="1" x14ac:dyDescent="0.35">
      <c r="A24" s="20" t="s">
        <v>14</v>
      </c>
      <c r="B24" s="37">
        <v>99</v>
      </c>
      <c r="C24" s="37">
        <v>99</v>
      </c>
      <c r="D24" s="37">
        <v>173</v>
      </c>
      <c r="E24" s="37">
        <v>109</v>
      </c>
      <c r="F24" s="37">
        <v>134</v>
      </c>
      <c r="G24" s="37">
        <v>135</v>
      </c>
      <c r="H24" s="37">
        <v>120</v>
      </c>
      <c r="I24" s="37">
        <v>129</v>
      </c>
      <c r="J24" s="39">
        <v>123</v>
      </c>
      <c r="K24" s="39">
        <v>133</v>
      </c>
      <c r="L24" s="39">
        <v>133</v>
      </c>
      <c r="M24" s="39">
        <v>117</v>
      </c>
      <c r="N24" s="39">
        <v>21</v>
      </c>
      <c r="O24" s="56">
        <v>1525</v>
      </c>
    </row>
    <row r="25" spans="1:15" ht="15" customHeight="1" x14ac:dyDescent="0.35">
      <c r="A25" s="20" t="s">
        <v>42</v>
      </c>
      <c r="B25" s="37">
        <v>31</v>
      </c>
      <c r="C25" s="37">
        <v>52</v>
      </c>
      <c r="D25" s="37">
        <v>51</v>
      </c>
      <c r="E25" s="37">
        <v>63</v>
      </c>
      <c r="F25" s="37">
        <v>73</v>
      </c>
      <c r="G25" s="37">
        <v>93</v>
      </c>
      <c r="H25" s="37">
        <v>112</v>
      </c>
      <c r="I25" s="37">
        <v>113</v>
      </c>
      <c r="J25" s="39">
        <v>221</v>
      </c>
      <c r="K25" s="39">
        <v>294</v>
      </c>
      <c r="L25" s="39">
        <v>271</v>
      </c>
      <c r="M25" s="39">
        <v>115</v>
      </c>
      <c r="N25" s="39">
        <v>8</v>
      </c>
      <c r="O25" s="56">
        <v>1497</v>
      </c>
    </row>
    <row r="26" spans="1:15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ht="15" customHeight="1" x14ac:dyDescent="0.35">
      <c r="A27" s="15" t="s">
        <v>8</v>
      </c>
      <c r="B27" s="26">
        <v>47</v>
      </c>
      <c r="C27" s="26">
        <v>79</v>
      </c>
      <c r="D27" s="26">
        <v>566</v>
      </c>
      <c r="E27" s="26">
        <v>1220</v>
      </c>
      <c r="F27" s="26">
        <v>774</v>
      </c>
      <c r="G27" s="26">
        <v>871</v>
      </c>
      <c r="H27" s="26">
        <v>730</v>
      </c>
      <c r="I27" s="26">
        <v>742</v>
      </c>
      <c r="J27" s="26">
        <v>780</v>
      </c>
      <c r="K27" s="26">
        <v>1999</v>
      </c>
      <c r="L27" s="26">
        <v>3706</v>
      </c>
      <c r="M27" s="26">
        <v>7701</v>
      </c>
      <c r="N27" s="70">
        <v>3329</v>
      </c>
      <c r="O27" s="51">
        <v>22544</v>
      </c>
    </row>
    <row r="28" spans="1:15" ht="15" customHeight="1" x14ac:dyDescent="0.35">
      <c r="A28" s="20" t="s">
        <v>4</v>
      </c>
      <c r="B28" s="29">
        <v>45</v>
      </c>
      <c r="C28" s="29">
        <v>78</v>
      </c>
      <c r="D28" s="29">
        <v>365</v>
      </c>
      <c r="E28" s="29">
        <v>698</v>
      </c>
      <c r="F28" s="29">
        <v>629</v>
      </c>
      <c r="G28" s="29">
        <v>781</v>
      </c>
      <c r="H28" s="29">
        <v>675</v>
      </c>
      <c r="I28" s="29">
        <v>701</v>
      </c>
      <c r="J28" s="29">
        <v>756</v>
      </c>
      <c r="K28" s="29">
        <v>1954</v>
      </c>
      <c r="L28" s="29">
        <v>3582</v>
      </c>
      <c r="M28" s="29">
        <v>5667</v>
      </c>
      <c r="N28" s="60">
        <v>332</v>
      </c>
      <c r="O28" s="52">
        <v>16263</v>
      </c>
    </row>
    <row r="29" spans="1:15" ht="15" customHeight="1" x14ac:dyDescent="0.35">
      <c r="A29" s="20" t="s">
        <v>5</v>
      </c>
      <c r="B29" s="29">
        <v>2</v>
      </c>
      <c r="C29" s="29">
        <v>0</v>
      </c>
      <c r="D29" s="29">
        <v>98</v>
      </c>
      <c r="E29" s="29">
        <v>189</v>
      </c>
      <c r="F29" s="29">
        <v>91</v>
      </c>
      <c r="G29" s="29">
        <v>76</v>
      </c>
      <c r="H29" s="29">
        <v>43</v>
      </c>
      <c r="I29" s="29">
        <v>22</v>
      </c>
      <c r="J29" s="29">
        <v>17</v>
      </c>
      <c r="K29" s="29">
        <v>19</v>
      </c>
      <c r="L29" s="29">
        <v>31</v>
      </c>
      <c r="M29" s="29">
        <v>30</v>
      </c>
      <c r="N29" s="60">
        <v>7</v>
      </c>
      <c r="O29" s="52">
        <v>625</v>
      </c>
    </row>
    <row r="30" spans="1:15" ht="15" customHeight="1" x14ac:dyDescent="0.35">
      <c r="A30" s="20" t="s">
        <v>6</v>
      </c>
      <c r="B30" s="29">
        <v>0</v>
      </c>
      <c r="C30" s="29">
        <v>1</v>
      </c>
      <c r="D30" s="29">
        <v>103</v>
      </c>
      <c r="E30" s="29">
        <v>333</v>
      </c>
      <c r="F30" s="29">
        <v>54</v>
      </c>
      <c r="G30" s="29">
        <v>14</v>
      </c>
      <c r="H30" s="29">
        <v>12</v>
      </c>
      <c r="I30" s="29">
        <v>19</v>
      </c>
      <c r="J30" s="29">
        <v>7</v>
      </c>
      <c r="K30" s="29">
        <v>26</v>
      </c>
      <c r="L30" s="29">
        <v>93</v>
      </c>
      <c r="M30" s="29">
        <v>2004</v>
      </c>
      <c r="N30" s="60">
        <v>2990</v>
      </c>
      <c r="O30" s="52">
        <v>5656</v>
      </c>
    </row>
    <row r="31" spans="1:15" ht="15" customHeight="1" x14ac:dyDescent="0.35">
      <c r="A31" s="1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ht="15" customHeight="1" x14ac:dyDescent="0.35">
      <c r="A32" s="20" t="s">
        <v>16</v>
      </c>
      <c r="B32" s="29">
        <v>5</v>
      </c>
      <c r="C32" s="29">
        <v>12</v>
      </c>
      <c r="D32" s="29">
        <v>32</v>
      </c>
      <c r="E32" s="29">
        <v>50</v>
      </c>
      <c r="F32" s="29">
        <v>48</v>
      </c>
      <c r="G32" s="29">
        <v>61</v>
      </c>
      <c r="H32" s="29">
        <v>56</v>
      </c>
      <c r="I32" s="29">
        <v>59</v>
      </c>
      <c r="J32" s="29">
        <v>84</v>
      </c>
      <c r="K32" s="29">
        <v>141</v>
      </c>
      <c r="L32" s="29">
        <v>100</v>
      </c>
      <c r="M32" s="29">
        <v>124</v>
      </c>
      <c r="N32" s="60">
        <v>30</v>
      </c>
      <c r="O32" s="52">
        <v>802</v>
      </c>
    </row>
    <row r="33" spans="1:15" ht="15" customHeight="1" x14ac:dyDescent="0.35">
      <c r="A33" s="20" t="s">
        <v>17</v>
      </c>
      <c r="B33" s="29">
        <v>36</v>
      </c>
      <c r="C33" s="29">
        <v>32</v>
      </c>
      <c r="D33" s="29">
        <v>109</v>
      </c>
      <c r="E33" s="29">
        <v>112</v>
      </c>
      <c r="F33" s="29">
        <v>151</v>
      </c>
      <c r="G33" s="29">
        <v>146</v>
      </c>
      <c r="H33" s="29">
        <v>152</v>
      </c>
      <c r="I33" s="29">
        <v>133</v>
      </c>
      <c r="J33" s="29">
        <v>151</v>
      </c>
      <c r="K33" s="29">
        <v>177</v>
      </c>
      <c r="L33" s="29">
        <v>205</v>
      </c>
      <c r="M33" s="29">
        <v>204</v>
      </c>
      <c r="N33" s="60">
        <v>54</v>
      </c>
      <c r="O33" s="52">
        <v>1662</v>
      </c>
    </row>
    <row r="34" spans="1:15" ht="15" customHeight="1" x14ac:dyDescent="0.35">
      <c r="A34" s="20" t="s">
        <v>40</v>
      </c>
      <c r="B34" s="29">
        <v>4</v>
      </c>
      <c r="C34" s="29">
        <v>34</v>
      </c>
      <c r="D34" s="29">
        <v>224</v>
      </c>
      <c r="E34" s="29">
        <v>536</v>
      </c>
      <c r="F34" s="29">
        <v>430</v>
      </c>
      <c r="G34" s="29">
        <v>574</v>
      </c>
      <c r="H34" s="29">
        <v>467</v>
      </c>
      <c r="I34" s="29">
        <v>509</v>
      </c>
      <c r="J34" s="29">
        <v>521</v>
      </c>
      <c r="K34" s="29">
        <v>1636</v>
      </c>
      <c r="L34" s="29">
        <v>3277</v>
      </c>
      <c r="M34" s="29">
        <v>5339</v>
      </c>
      <c r="N34" s="60">
        <v>248</v>
      </c>
      <c r="O34" s="52">
        <v>13799</v>
      </c>
    </row>
    <row r="35" spans="1:15" ht="20.149999999999999" customHeight="1" x14ac:dyDescent="0.35">
      <c r="A35" s="9" t="s">
        <v>18</v>
      </c>
      <c r="B35" s="42" t="s">
        <v>19</v>
      </c>
      <c r="C35" s="42" t="s">
        <v>19</v>
      </c>
      <c r="D35" s="42" t="s">
        <v>19</v>
      </c>
      <c r="E35" s="42">
        <v>2</v>
      </c>
      <c r="F35" s="42" t="s">
        <v>19</v>
      </c>
      <c r="G35" s="42" t="s">
        <v>19</v>
      </c>
      <c r="H35" s="42" t="s">
        <v>19</v>
      </c>
      <c r="I35" s="42" t="s">
        <v>19</v>
      </c>
      <c r="J35" s="42" t="s">
        <v>19</v>
      </c>
      <c r="K35" s="42" t="s">
        <v>19</v>
      </c>
      <c r="L35" s="42" t="s">
        <v>19</v>
      </c>
      <c r="M35" s="42" t="s">
        <v>19</v>
      </c>
      <c r="N35" s="44"/>
      <c r="O35" s="34">
        <v>2</v>
      </c>
    </row>
    <row r="36" spans="1:15" ht="15" customHeight="1" x14ac:dyDescent="0.35">
      <c r="A36" s="20" t="s">
        <v>4</v>
      </c>
      <c r="B36" s="45" t="s">
        <v>19</v>
      </c>
      <c r="C36" s="45" t="s">
        <v>19</v>
      </c>
      <c r="D36" s="45" t="s">
        <v>19</v>
      </c>
      <c r="E36" s="45" t="s">
        <v>19</v>
      </c>
      <c r="F36" s="45" t="s">
        <v>19</v>
      </c>
      <c r="G36" s="45" t="s">
        <v>19</v>
      </c>
      <c r="H36" s="45" t="s">
        <v>19</v>
      </c>
      <c r="I36" s="45" t="s">
        <v>19</v>
      </c>
      <c r="J36" s="45" t="s">
        <v>19</v>
      </c>
      <c r="K36" s="45" t="s">
        <v>19</v>
      </c>
      <c r="L36" s="45" t="s">
        <v>19</v>
      </c>
      <c r="M36" s="45" t="s">
        <v>19</v>
      </c>
      <c r="N36" s="72"/>
      <c r="O36" s="40" t="s">
        <v>19</v>
      </c>
    </row>
    <row r="37" spans="1:15" ht="15" customHeight="1" x14ac:dyDescent="0.35">
      <c r="A37" s="20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72"/>
      <c r="O37" s="40" t="s">
        <v>19</v>
      </c>
    </row>
    <row r="38" spans="1:15" ht="15" customHeight="1" thickBot="1" x14ac:dyDescent="0.4">
      <c r="A38" s="21" t="s">
        <v>6</v>
      </c>
      <c r="B38" s="47" t="s">
        <v>19</v>
      </c>
      <c r="C38" s="47" t="s">
        <v>19</v>
      </c>
      <c r="D38" s="47" t="s">
        <v>19</v>
      </c>
      <c r="E38" s="47">
        <v>2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8"/>
      <c r="O38" s="49">
        <v>2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Countries FY26</vt:lpstr>
      <vt:lpstr>India FY26</vt:lpstr>
      <vt:lpstr>China FY26</vt:lpstr>
      <vt:lpstr>Philippines FY26</vt:lpstr>
      <vt:lpstr>Brazil FY26</vt:lpstr>
      <vt:lpstr>Vietnam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Receipts and Current Status by Preference and Country (Fiscal Year 2026, Quarter 1)</dc:title>
  <dc:subject>Contains information on USCIS I-140 receipts and the current status by employment preference and country.</dc:subject>
  <dc:creator/>
  <cp:keywords>i140, quarterly</cp:keywords>
  <dc:description/>
  <cp:lastModifiedBy/>
  <cp:revision>1</cp:revision>
  <dcterms:created xsi:type="dcterms:W3CDTF">2024-01-30T15:37:43Z</dcterms:created>
  <dcterms:modified xsi:type="dcterms:W3CDTF">2026-03-30T21:42:38Z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